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baguga1\Desktop\PhD\0. TESIS\"/>
    </mc:Choice>
  </mc:AlternateContent>
  <xr:revisionPtr revIDLastSave="0" documentId="13_ncr:1_{BCC0F20B-FF26-4A80-82DF-B73C8572FEBF}" xr6:coauthVersionLast="47" xr6:coauthVersionMax="47" xr10:uidLastSave="{00000000-0000-0000-0000-000000000000}"/>
  <bookViews>
    <workbookView xWindow="-28920" yWindow="-120" windowWidth="29040" windowHeight="15720" firstSheet="2" activeTab="9" xr2:uid="{E723A9A4-A15E-41BF-B637-C976E722D02B}"/>
  </bookViews>
  <sheets>
    <sheet name="Index" sheetId="3" r:id="rId1"/>
    <sheet name="Kinetic parameters" sheetId="2" r:id="rId2"/>
    <sheet name="Domain-Shift" sheetId="5" r:id="rId3"/>
    <sheet name="BEP" sheetId="11" r:id="rId4"/>
    <sheet name="Surface Renewal" sheetId="1" r:id="rId5"/>
    <sheet name="Mass Transfer " sheetId="4" r:id="rId6"/>
    <sheet name="Ads equilibria Ω" sheetId="7" r:id="rId7"/>
    <sheet name="Carbón Bulk" sheetId="6" r:id="rId8"/>
    <sheet name="Thermo" sheetId="9" r:id="rId9"/>
    <sheet name="Geometría" sheetId="12" r:id="rId10"/>
    <sheet name="Scripts" sheetId="10"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0" i="12" l="1"/>
  <c r="C30" i="12" s="1"/>
  <c r="D30" i="12" s="1"/>
  <c r="A30" i="12"/>
  <c r="B29" i="12"/>
  <c r="C29" i="12" s="1"/>
  <c r="D29" i="12" s="1"/>
  <c r="G28" i="12"/>
  <c r="G22" i="12"/>
  <c r="C18" i="12"/>
  <c r="C19" i="12"/>
  <c r="E15" i="12"/>
  <c r="E17" i="12" s="1"/>
  <c r="C17" i="12"/>
  <c r="C16" i="12"/>
  <c r="C25" i="12" s="1"/>
  <c r="C10" i="12"/>
  <c r="G1" i="12"/>
  <c r="C4" i="12" s="1"/>
  <c r="I116" i="9"/>
  <c r="J116" i="9"/>
  <c r="K116" i="9"/>
  <c r="L116" i="9"/>
  <c r="M116" i="9"/>
  <c r="N116" i="9"/>
  <c r="O116" i="9"/>
  <c r="P116" i="9"/>
  <c r="H116" i="9"/>
  <c r="H117" i="9"/>
  <c r="H118" i="9"/>
  <c r="I118" i="9"/>
  <c r="J118" i="9"/>
  <c r="K118" i="9"/>
  <c r="L118" i="9"/>
  <c r="M118" i="9"/>
  <c r="N118" i="9"/>
  <c r="O118" i="9"/>
  <c r="P118" i="9"/>
  <c r="H114" i="9"/>
  <c r="I114" i="9"/>
  <c r="J114" i="9"/>
  <c r="K114" i="9"/>
  <c r="L114" i="9"/>
  <c r="M114" i="9"/>
  <c r="N114" i="9"/>
  <c r="O114" i="9"/>
  <c r="P114" i="9"/>
  <c r="G114" i="9"/>
  <c r="I117" i="9"/>
  <c r="J117" i="9"/>
  <c r="K117" i="9"/>
  <c r="L117" i="9"/>
  <c r="M117" i="9"/>
  <c r="N117" i="9"/>
  <c r="O117" i="9"/>
  <c r="P117" i="9"/>
  <c r="I115" i="9"/>
  <c r="J115" i="9"/>
  <c r="K115" i="9"/>
  <c r="L115" i="9"/>
  <c r="M115" i="9"/>
  <c r="N115" i="9"/>
  <c r="O115" i="9"/>
  <c r="P115" i="9"/>
  <c r="H115" i="9"/>
  <c r="G110" i="9"/>
  <c r="G109" i="9"/>
  <c r="G115" i="9" s="1"/>
  <c r="I108" i="9"/>
  <c r="J108" i="9"/>
  <c r="K108" i="9"/>
  <c r="L108" i="9"/>
  <c r="M108" i="9"/>
  <c r="N108" i="9"/>
  <c r="O108" i="9"/>
  <c r="P108" i="9"/>
  <c r="H108" i="9"/>
  <c r="G108" i="9"/>
  <c r="H109" i="9"/>
  <c r="I109" i="9"/>
  <c r="J109" i="9"/>
  <c r="K109" i="9"/>
  <c r="L109" i="9"/>
  <c r="M109" i="9"/>
  <c r="N109" i="9"/>
  <c r="O109" i="9"/>
  <c r="P109" i="9"/>
  <c r="H110" i="9"/>
  <c r="I110" i="9"/>
  <c r="J110" i="9"/>
  <c r="K110" i="9"/>
  <c r="L110" i="9"/>
  <c r="M110" i="9"/>
  <c r="N110" i="9"/>
  <c r="O110" i="9"/>
  <c r="P110" i="9"/>
  <c r="O104" i="9"/>
  <c r="H88" i="9"/>
  <c r="G87" i="9"/>
  <c r="G88" i="9"/>
  <c r="H87" i="9"/>
  <c r="I87" i="9"/>
  <c r="J87" i="9"/>
  <c r="K87" i="9"/>
  <c r="L87" i="9"/>
  <c r="M87" i="9"/>
  <c r="N87" i="9"/>
  <c r="O87" i="9"/>
  <c r="O93" i="9" s="1"/>
  <c r="P87" i="9"/>
  <c r="P93" i="9" s="1"/>
  <c r="I88" i="9"/>
  <c r="J88" i="9"/>
  <c r="K88" i="9"/>
  <c r="L88" i="9"/>
  <c r="M88" i="9"/>
  <c r="N88" i="9"/>
  <c r="O88" i="9"/>
  <c r="P88" i="9"/>
  <c r="G93" i="9"/>
  <c r="H93" i="9"/>
  <c r="M93" i="9"/>
  <c r="N93" i="9"/>
  <c r="G103" i="9"/>
  <c r="H103" i="9"/>
  <c r="I103" i="9"/>
  <c r="J103" i="9"/>
  <c r="K103" i="9"/>
  <c r="L103" i="9"/>
  <c r="M103" i="9"/>
  <c r="N103" i="9"/>
  <c r="O103" i="9"/>
  <c r="P103" i="9"/>
  <c r="I97" i="9"/>
  <c r="J97" i="9"/>
  <c r="K97" i="9"/>
  <c r="L97" i="9"/>
  <c r="M97" i="9"/>
  <c r="N97" i="9"/>
  <c r="O97" i="9"/>
  <c r="P97" i="9"/>
  <c r="H97" i="9"/>
  <c r="G97" i="9"/>
  <c r="U83" i="9"/>
  <c r="V79" i="9"/>
  <c r="W79" i="9"/>
  <c r="AA79" i="9"/>
  <c r="AB79" i="9"/>
  <c r="AC79" i="9"/>
  <c r="U79" i="9"/>
  <c r="V77" i="9"/>
  <c r="W77" i="9"/>
  <c r="X77" i="9"/>
  <c r="X79" i="9" s="1"/>
  <c r="X83" i="9" s="1"/>
  <c r="Y77" i="9"/>
  <c r="Y79" i="9" s="1"/>
  <c r="Z77" i="9"/>
  <c r="Z79" i="9" s="1"/>
  <c r="AA77" i="9"/>
  <c r="AB77" i="9"/>
  <c r="AC77" i="9"/>
  <c r="U77" i="9"/>
  <c r="T77" i="9"/>
  <c r="T79" i="9" s="1"/>
  <c r="V81" i="9"/>
  <c r="U81" i="9"/>
  <c r="X81" i="9"/>
  <c r="W81" i="9"/>
  <c r="T81" i="9"/>
  <c r="G39" i="9"/>
  <c r="G89" i="9"/>
  <c r="P81" i="9"/>
  <c r="O81" i="9"/>
  <c r="N81" i="9"/>
  <c r="M81" i="9"/>
  <c r="L81" i="9"/>
  <c r="K81" i="9"/>
  <c r="J81" i="9"/>
  <c r="I81" i="9"/>
  <c r="H81" i="9"/>
  <c r="G81" i="9"/>
  <c r="G77" i="9"/>
  <c r="G79" i="9" s="1"/>
  <c r="G83" i="9" s="1"/>
  <c r="G73" i="9"/>
  <c r="G72" i="9"/>
  <c r="G71" i="9"/>
  <c r="B12" i="9"/>
  <c r="B11" i="9"/>
  <c r="B10" i="9"/>
  <c r="B13" i="9"/>
  <c r="E30" i="12" l="1"/>
  <c r="A31" i="12"/>
  <c r="B31" i="12" s="1"/>
  <c r="C31" i="12" s="1"/>
  <c r="D31" i="12" s="1"/>
  <c r="E29" i="12"/>
  <c r="C24" i="12"/>
  <c r="C23" i="12"/>
  <c r="C21" i="12"/>
  <c r="C13" i="12"/>
  <c r="C22" i="12" s="1"/>
  <c r="C12" i="12"/>
  <c r="C11" i="12"/>
  <c r="L93" i="9"/>
  <c r="K93" i="9"/>
  <c r="J93" i="9"/>
  <c r="I93" i="9"/>
  <c r="G104" i="9"/>
  <c r="G95" i="9"/>
  <c r="G99" i="9" s="1"/>
  <c r="T83" i="9"/>
  <c r="W83" i="9"/>
  <c r="V83" i="9"/>
  <c r="Y81" i="9"/>
  <c r="Z81" i="9"/>
  <c r="AA81" i="9"/>
  <c r="AA83" i="9" s="1"/>
  <c r="AB81" i="9"/>
  <c r="AB83" i="9" s="1"/>
  <c r="AC81" i="9"/>
  <c r="AC83" i="9" s="1"/>
  <c r="A32" i="12" l="1"/>
  <c r="B32" i="12" s="1"/>
  <c r="C32" i="12" s="1"/>
  <c r="D32" i="12" s="1"/>
  <c r="E31" i="12"/>
  <c r="C26" i="12"/>
  <c r="Z83" i="9"/>
  <c r="Y83" i="9"/>
  <c r="H65" i="9"/>
  <c r="J49" i="9"/>
  <c r="M49" i="9"/>
  <c r="P65" i="9"/>
  <c r="G40" i="9"/>
  <c r="G41" i="9"/>
  <c r="S51" i="6"/>
  <c r="R51" i="6"/>
  <c r="Q51" i="6"/>
  <c r="P51" i="6"/>
  <c r="O51" i="6"/>
  <c r="N51" i="6"/>
  <c r="M51" i="6"/>
  <c r="L51" i="6"/>
  <c r="K51" i="6"/>
  <c r="J51" i="6"/>
  <c r="I51" i="6"/>
  <c r="S50" i="6"/>
  <c r="R50" i="6"/>
  <c r="Q50" i="6"/>
  <c r="P50" i="6"/>
  <c r="O50" i="6"/>
  <c r="N50" i="6"/>
  <c r="M50" i="6"/>
  <c r="L50" i="6"/>
  <c r="K50" i="6"/>
  <c r="J50" i="6"/>
  <c r="I50" i="6"/>
  <c r="S49" i="6"/>
  <c r="R49" i="6"/>
  <c r="Q49" i="6"/>
  <c r="P49" i="6"/>
  <c r="O49" i="6"/>
  <c r="N49" i="6"/>
  <c r="M49" i="6"/>
  <c r="L49" i="6"/>
  <c r="K49" i="6"/>
  <c r="J49" i="6"/>
  <c r="I49" i="6"/>
  <c r="H50" i="6"/>
  <c r="H51" i="6"/>
  <c r="H55" i="6"/>
  <c r="H49" i="6"/>
  <c r="E15" i="6"/>
  <c r="F14" i="6"/>
  <c r="C7" i="6"/>
  <c r="I24" i="6"/>
  <c r="J24" i="6"/>
  <c r="K24" i="6"/>
  <c r="L24" i="6"/>
  <c r="M24" i="6"/>
  <c r="N24" i="6"/>
  <c r="O24" i="6"/>
  <c r="P24" i="6"/>
  <c r="Q24" i="6"/>
  <c r="R24" i="6"/>
  <c r="S24" i="6"/>
  <c r="H24" i="6"/>
  <c r="C68" i="6"/>
  <c r="C69" i="6"/>
  <c r="C70" i="6"/>
  <c r="C10" i="6"/>
  <c r="C62" i="6"/>
  <c r="D62" i="6"/>
  <c r="D68" i="6" s="1"/>
  <c r="B62" i="6"/>
  <c r="B68" i="6" s="1"/>
  <c r="H7" i="6"/>
  <c r="I7" i="6"/>
  <c r="J7" i="6"/>
  <c r="K7" i="6"/>
  <c r="L7" i="6"/>
  <c r="M7" i="6"/>
  <c r="N7" i="6"/>
  <c r="O7" i="6"/>
  <c r="P7" i="6"/>
  <c r="Q7" i="6"/>
  <c r="R7" i="6"/>
  <c r="S7" i="6"/>
  <c r="H8" i="6"/>
  <c r="I8" i="6"/>
  <c r="J8" i="6"/>
  <c r="K8" i="6"/>
  <c r="L8" i="6"/>
  <c r="M8" i="6"/>
  <c r="N8" i="6"/>
  <c r="O8" i="6"/>
  <c r="P8" i="6"/>
  <c r="Q8" i="6"/>
  <c r="R8" i="6"/>
  <c r="S8" i="6"/>
  <c r="H9" i="6"/>
  <c r="I9" i="6"/>
  <c r="J9" i="6"/>
  <c r="K9" i="6"/>
  <c r="L9" i="6"/>
  <c r="M9" i="6"/>
  <c r="N9" i="6"/>
  <c r="O9" i="6"/>
  <c r="P9" i="6"/>
  <c r="Q9" i="6"/>
  <c r="R9" i="6"/>
  <c r="S9" i="6"/>
  <c r="H10" i="6"/>
  <c r="I10" i="6"/>
  <c r="J10" i="6"/>
  <c r="K10" i="6"/>
  <c r="L10" i="6"/>
  <c r="M10" i="6"/>
  <c r="N10" i="6"/>
  <c r="O10" i="6"/>
  <c r="P10" i="6"/>
  <c r="Q10" i="6"/>
  <c r="R10" i="6"/>
  <c r="S10" i="6"/>
  <c r="H11" i="6"/>
  <c r="I11" i="6"/>
  <c r="J11" i="6"/>
  <c r="K11" i="6"/>
  <c r="L11" i="6"/>
  <c r="M11" i="6"/>
  <c r="N11" i="6"/>
  <c r="O11" i="6"/>
  <c r="P11" i="6"/>
  <c r="Q11" i="6"/>
  <c r="R11" i="6"/>
  <c r="S11" i="6"/>
  <c r="R12" i="7"/>
  <c r="M22" i="7"/>
  <c r="N22" i="7"/>
  <c r="O22" i="7"/>
  <c r="P22" i="7"/>
  <c r="Q22" i="7"/>
  <c r="R22" i="7"/>
  <c r="S22" i="7"/>
  <c r="T22" i="7"/>
  <c r="U22" i="7"/>
  <c r="V22" i="7"/>
  <c r="W22" i="7"/>
  <c r="L22" i="7"/>
  <c r="M12" i="7"/>
  <c r="N12" i="7"/>
  <c r="O12" i="7"/>
  <c r="P12" i="7"/>
  <c r="Q12" i="7"/>
  <c r="S12" i="7"/>
  <c r="T12" i="7"/>
  <c r="U12" i="7"/>
  <c r="V12" i="7"/>
  <c r="W12" i="7"/>
  <c r="L12" i="7"/>
  <c r="F9" i="11"/>
  <c r="S28" i="7"/>
  <c r="H55" i="7"/>
  <c r="H54" i="7"/>
  <c r="W54" i="7" s="1"/>
  <c r="L46" i="7"/>
  <c r="E32" i="12" l="1"/>
  <c r="A33" i="12"/>
  <c r="B33" i="12" s="1"/>
  <c r="C33" i="12" s="1"/>
  <c r="D33" i="12" s="1"/>
  <c r="E33" i="12" s="1"/>
  <c r="L49" i="9"/>
  <c r="O65" i="9"/>
  <c r="N65" i="9"/>
  <c r="M65" i="9"/>
  <c r="L65" i="9"/>
  <c r="N49" i="9"/>
  <c r="K65" i="9"/>
  <c r="J65" i="9"/>
  <c r="I65" i="9"/>
  <c r="G65" i="9"/>
  <c r="K49" i="9"/>
  <c r="O49" i="9"/>
  <c r="I49" i="9"/>
  <c r="G49" i="9"/>
  <c r="H49" i="9"/>
  <c r="P49" i="9"/>
  <c r="D70" i="6"/>
  <c r="D69" i="6"/>
  <c r="L64" i="6"/>
  <c r="K63" i="6"/>
  <c r="L68" i="6"/>
  <c r="S63" i="6"/>
  <c r="I68" i="6"/>
  <c r="I63" i="6"/>
  <c r="J63" i="6"/>
  <c r="M64" i="6"/>
  <c r="L63" i="6"/>
  <c r="M68" i="6"/>
  <c r="Q63" i="6"/>
  <c r="S64" i="6"/>
  <c r="H64" i="6"/>
  <c r="N64" i="6"/>
  <c r="M63" i="6"/>
  <c r="N68" i="6"/>
  <c r="P64" i="6"/>
  <c r="O63" i="6"/>
  <c r="Q64" i="6"/>
  <c r="R68" i="6"/>
  <c r="S68" i="6"/>
  <c r="H68" i="6"/>
  <c r="H63" i="6"/>
  <c r="J64" i="6"/>
  <c r="K68" i="6"/>
  <c r="O64" i="6"/>
  <c r="N63" i="6"/>
  <c r="O68" i="6"/>
  <c r="P68" i="6"/>
  <c r="P63" i="6"/>
  <c r="Q68" i="6"/>
  <c r="R64" i="6"/>
  <c r="R63" i="6"/>
  <c r="I64" i="6"/>
  <c r="J68" i="6"/>
  <c r="K64" i="6"/>
  <c r="B70" i="6"/>
  <c r="B69" i="6"/>
  <c r="N55" i="7"/>
  <c r="V54" i="7"/>
  <c r="U55" i="7"/>
  <c r="U54" i="7"/>
  <c r="T54" i="7"/>
  <c r="V55" i="7"/>
  <c r="S54" i="7"/>
  <c r="R54" i="7"/>
  <c r="T55" i="7"/>
  <c r="Q54" i="7"/>
  <c r="S55" i="7"/>
  <c r="P54" i="7"/>
  <c r="R55" i="7"/>
  <c r="O54" i="7"/>
  <c r="Q55" i="7"/>
  <c r="N54" i="7"/>
  <c r="P55" i="7"/>
  <c r="L55" i="7"/>
  <c r="O55" i="7"/>
  <c r="M55" i="7"/>
  <c r="M54" i="7"/>
  <c r="L54" i="7"/>
  <c r="W55" i="7"/>
  <c r="D21" i="11" l="1"/>
  <c r="E21" i="11" s="1"/>
  <c r="F21" i="11" s="1"/>
  <c r="D17" i="11"/>
  <c r="E17" i="11" s="1"/>
  <c r="F17" i="11" s="1"/>
  <c r="D13" i="11"/>
  <c r="E13" i="11" s="1"/>
  <c r="F13" i="11" s="1"/>
  <c r="D9" i="11"/>
  <c r="E9" i="11" s="1"/>
  <c r="U59" i="9"/>
  <c r="U39" i="9"/>
  <c r="G57" i="9"/>
  <c r="G56" i="9"/>
  <c r="G55" i="9"/>
  <c r="U56" i="9"/>
  <c r="U57" i="9"/>
  <c r="U58" i="9"/>
  <c r="U60" i="9"/>
  <c r="U61" i="9"/>
  <c r="U62" i="9"/>
  <c r="U63" i="9"/>
  <c r="U64" i="9"/>
  <c r="U55" i="9"/>
  <c r="V55" i="9" s="1"/>
  <c r="U40" i="9"/>
  <c r="U41" i="9"/>
  <c r="U42" i="9"/>
  <c r="U43" i="9"/>
  <c r="U44" i="9"/>
  <c r="U45" i="9"/>
  <c r="U46" i="9"/>
  <c r="U47" i="9"/>
  <c r="U48" i="9"/>
  <c r="T39" i="9"/>
  <c r="I12" i="9"/>
  <c r="J12" i="9"/>
  <c r="K12" i="9"/>
  <c r="L12" i="9"/>
  <c r="M12" i="9"/>
  <c r="N12" i="9"/>
  <c r="O12" i="9"/>
  <c r="P12" i="9"/>
  <c r="H12" i="9"/>
  <c r="A51" i="6"/>
  <c r="A50" i="6"/>
  <c r="A49" i="6"/>
  <c r="E8" i="6"/>
  <c r="C19" i="6"/>
  <c r="C24" i="6"/>
  <c r="E7" i="6"/>
  <c r="B10" i="6"/>
  <c r="C18" i="6"/>
  <c r="U3" i="7"/>
  <c r="V3" i="7"/>
  <c r="W3" i="7"/>
  <c r="M3" i="7"/>
  <c r="N3" i="7"/>
  <c r="O3" i="7"/>
  <c r="P3" i="7"/>
  <c r="Q3" i="7"/>
  <c r="R3" i="7"/>
  <c r="S3" i="7"/>
  <c r="T3" i="7"/>
  <c r="L3" i="7"/>
  <c r="C31" i="6"/>
  <c r="C30" i="6"/>
  <c r="C29" i="6"/>
  <c r="C28" i="6"/>
  <c r="C26" i="6"/>
  <c r="C25" i="6"/>
  <c r="C23" i="6"/>
  <c r="C21" i="6"/>
  <c r="C20" i="6"/>
  <c r="C35" i="12" l="1"/>
  <c r="C36" i="12" s="1"/>
  <c r="G27" i="12"/>
  <c r="C34" i="12"/>
  <c r="M31" i="9"/>
  <c r="K22" i="9"/>
  <c r="O29" i="9"/>
  <c r="O25" i="9"/>
  <c r="O17" i="9"/>
  <c r="O21" i="9"/>
  <c r="N29" i="9"/>
  <c r="N21" i="9"/>
  <c r="N25" i="9"/>
  <c r="L25" i="9"/>
  <c r="L29" i="9"/>
  <c r="L21" i="9"/>
  <c r="M21" i="9"/>
  <c r="M29" i="9"/>
  <c r="M25" i="9"/>
  <c r="K29" i="9"/>
  <c r="K21" i="9"/>
  <c r="K25" i="9"/>
  <c r="H21" i="9"/>
  <c r="H29" i="9"/>
  <c r="H25" i="9"/>
  <c r="H55" i="9" s="1"/>
  <c r="J21" i="9"/>
  <c r="J25" i="9"/>
  <c r="J29" i="9"/>
  <c r="I29" i="9"/>
  <c r="I25" i="9"/>
  <c r="I21" i="9"/>
  <c r="P17" i="9"/>
  <c r="P29" i="9"/>
  <c r="P21" i="9"/>
  <c r="P71" i="9" s="1"/>
  <c r="P25" i="9"/>
  <c r="K19" i="9"/>
  <c r="K17" i="9"/>
  <c r="K13" i="9"/>
  <c r="M30" i="9"/>
  <c r="M13" i="9"/>
  <c r="M17" i="9"/>
  <c r="L26" i="9"/>
  <c r="L17" i="9"/>
  <c r="L13" i="9"/>
  <c r="M15" i="9"/>
  <c r="J15" i="9"/>
  <c r="J17" i="9"/>
  <c r="J13" i="9"/>
  <c r="I30" i="9"/>
  <c r="I17" i="9"/>
  <c r="I13" i="9"/>
  <c r="H13" i="9"/>
  <c r="H17" i="9"/>
  <c r="P19" i="9"/>
  <c r="P13" i="9"/>
  <c r="O23" i="9"/>
  <c r="O13" i="9"/>
  <c r="N15" i="9"/>
  <c r="N17" i="9"/>
  <c r="N13" i="9"/>
  <c r="N18" i="9"/>
  <c r="M22" i="9"/>
  <c r="P30" i="9"/>
  <c r="N27" i="9"/>
  <c r="J19" i="9"/>
  <c r="G45" i="9"/>
  <c r="G47" i="9" s="1"/>
  <c r="G51" i="9" s="1"/>
  <c r="G61" i="9"/>
  <c r="G63" i="9" s="1"/>
  <c r="G67" i="9" s="1"/>
  <c r="H19" i="9"/>
  <c r="H31" i="9"/>
  <c r="H22" i="9"/>
  <c r="N19" i="9"/>
  <c r="H15" i="9"/>
  <c r="L22" i="9"/>
  <c r="S39" i="9"/>
  <c r="J22" i="9"/>
  <c r="L30" i="9"/>
  <c r="L14" i="9"/>
  <c r="J27" i="9"/>
  <c r="I22" i="9"/>
  <c r="I31" i="9"/>
  <c r="H18" i="9"/>
  <c r="I23" i="9"/>
  <c r="S55" i="9"/>
  <c r="I15" i="9"/>
  <c r="P14" i="9"/>
  <c r="J18" i="9"/>
  <c r="N23" i="9"/>
  <c r="I19" i="6"/>
  <c r="N23" i="6"/>
  <c r="O14" i="9"/>
  <c r="K14" i="9"/>
  <c r="M18" i="9"/>
  <c r="I18" i="9"/>
  <c r="P22" i="9"/>
  <c r="N26" i="9"/>
  <c r="J26" i="9"/>
  <c r="O30" i="9"/>
  <c r="K30" i="9"/>
  <c r="P31" i="9"/>
  <c r="L31" i="9"/>
  <c r="H27" i="9"/>
  <c r="M27" i="9"/>
  <c r="I27" i="9"/>
  <c r="L23" i="9"/>
  <c r="M23" i="9"/>
  <c r="M19" i="9"/>
  <c r="I19" i="9"/>
  <c r="P15" i="9"/>
  <c r="L15" i="9"/>
  <c r="N14" i="9"/>
  <c r="J14" i="9"/>
  <c r="L18" i="9"/>
  <c r="O18" i="9"/>
  <c r="O22" i="9"/>
  <c r="H26" i="9"/>
  <c r="M26" i="9"/>
  <c r="I26" i="9"/>
  <c r="N30" i="9"/>
  <c r="J30" i="9"/>
  <c r="O31" i="9"/>
  <c r="K31" i="9"/>
  <c r="P27" i="9"/>
  <c r="L27" i="9"/>
  <c r="H23" i="9"/>
  <c r="P23" i="9"/>
  <c r="K23" i="9"/>
  <c r="L19" i="9"/>
  <c r="O19" i="9"/>
  <c r="O15" i="9"/>
  <c r="K15" i="9"/>
  <c r="O26" i="9"/>
  <c r="K26" i="9"/>
  <c r="H14" i="9"/>
  <c r="M14" i="9"/>
  <c r="I14" i="9"/>
  <c r="K18" i="9"/>
  <c r="P18" i="9"/>
  <c r="N22" i="9"/>
  <c r="P26" i="9"/>
  <c r="H30" i="9"/>
  <c r="N31" i="9"/>
  <c r="J31" i="9"/>
  <c r="O27" i="9"/>
  <c r="K27" i="9"/>
  <c r="J23" i="9"/>
  <c r="V39" i="9"/>
  <c r="H18" i="6"/>
  <c r="K19" i="6"/>
  <c r="L19" i="6"/>
  <c r="H19" i="6"/>
  <c r="P19" i="6"/>
  <c r="S19" i="6"/>
  <c r="O19" i="6"/>
  <c r="R19" i="6"/>
  <c r="N19" i="6"/>
  <c r="J19" i="6"/>
  <c r="Q19" i="6"/>
  <c r="M19" i="6"/>
  <c r="C10" i="7"/>
  <c r="C11" i="7"/>
  <c r="C4" i="7"/>
  <c r="C6" i="7"/>
  <c r="C8" i="7"/>
  <c r="C9" i="7"/>
  <c r="C12" i="7"/>
  <c r="D10" i="6"/>
  <c r="E14" i="6" s="1"/>
  <c r="D6" i="6"/>
  <c r="B6" i="6"/>
  <c r="D4" i="4"/>
  <c r="C4" i="4" s="1"/>
  <c r="B4" i="4"/>
  <c r="B31" i="1"/>
  <c r="B30" i="2"/>
  <c r="B29" i="2"/>
  <c r="B28" i="2"/>
  <c r="B27" i="2"/>
  <c r="B9" i="2"/>
  <c r="B10" i="2"/>
  <c r="B8" i="2"/>
  <c r="B7" i="2"/>
  <c r="B22" i="2"/>
  <c r="B23" i="2"/>
  <c r="B18" i="1" s="1"/>
  <c r="B28" i="1" s="1"/>
  <c r="B24" i="2"/>
  <c r="B20" i="2"/>
  <c r="B21" i="2"/>
  <c r="B17" i="1" s="1"/>
  <c r="B18" i="2"/>
  <c r="B16" i="2"/>
  <c r="B3" i="1"/>
  <c r="M46" i="7"/>
  <c r="N46" i="7"/>
  <c r="O46" i="7"/>
  <c r="P46" i="7"/>
  <c r="Q46" i="7"/>
  <c r="R46" i="7"/>
  <c r="S46" i="7"/>
  <c r="T46" i="7"/>
  <c r="U46" i="7"/>
  <c r="V46" i="7"/>
  <c r="W46" i="7"/>
  <c r="U13" i="5"/>
  <c r="V13" i="5"/>
  <c r="W13" i="5"/>
  <c r="X13" i="5"/>
  <c r="Y13" i="5"/>
  <c r="Z13" i="5"/>
  <c r="AA13" i="5"/>
  <c r="AB13" i="5"/>
  <c r="AC13" i="5"/>
  <c r="AD13" i="5"/>
  <c r="AE13" i="5"/>
  <c r="AF13" i="5"/>
  <c r="U14" i="5"/>
  <c r="H25" i="6" s="1"/>
  <c r="V14" i="5"/>
  <c r="I25" i="6" s="1"/>
  <c r="W14" i="5"/>
  <c r="J25" i="6" s="1"/>
  <c r="X14" i="5"/>
  <c r="K25" i="6" s="1"/>
  <c r="Y14" i="5"/>
  <c r="L25" i="6" s="1"/>
  <c r="Z14" i="5"/>
  <c r="M25" i="6" s="1"/>
  <c r="AA14" i="5"/>
  <c r="N25" i="6" s="1"/>
  <c r="AB14" i="5"/>
  <c r="O25" i="6" s="1"/>
  <c r="AC14" i="5"/>
  <c r="P25" i="6" s="1"/>
  <c r="AD14" i="5"/>
  <c r="Q25" i="6" s="1"/>
  <c r="AE14" i="5"/>
  <c r="R25" i="6" s="1"/>
  <c r="AF14" i="5"/>
  <c r="S25" i="6" s="1"/>
  <c r="I95" i="9" l="1"/>
  <c r="I104" i="9"/>
  <c r="K95" i="9"/>
  <c r="K104" i="9"/>
  <c r="J95" i="9"/>
  <c r="J104" i="9"/>
  <c r="O95" i="9"/>
  <c r="I72" i="9"/>
  <c r="O72" i="9"/>
  <c r="O89" i="9"/>
  <c r="O73" i="9"/>
  <c r="M72" i="9"/>
  <c r="N89" i="9"/>
  <c r="N73" i="9"/>
  <c r="L73" i="9"/>
  <c r="L89" i="9"/>
  <c r="J72" i="9"/>
  <c r="M89" i="9"/>
  <c r="M73" i="9"/>
  <c r="H89" i="9"/>
  <c r="H73" i="9"/>
  <c r="L72" i="9"/>
  <c r="J73" i="9"/>
  <c r="J89" i="9"/>
  <c r="P72" i="9"/>
  <c r="P77" i="9" s="1"/>
  <c r="P79" i="9" s="1"/>
  <c r="P83" i="9" s="1"/>
  <c r="K73" i="9"/>
  <c r="K89" i="9"/>
  <c r="I89" i="9"/>
  <c r="I73" i="9"/>
  <c r="N72" i="9"/>
  <c r="P73" i="9"/>
  <c r="P89" i="9"/>
  <c r="H72" i="9"/>
  <c r="K72" i="9"/>
  <c r="N71" i="9"/>
  <c r="O71" i="9"/>
  <c r="O77" i="9" s="1"/>
  <c r="O79" i="9" s="1"/>
  <c r="O83" i="9" s="1"/>
  <c r="L71" i="9"/>
  <c r="I71" i="9"/>
  <c r="K71" i="9"/>
  <c r="J71" i="9"/>
  <c r="H71" i="9"/>
  <c r="M71" i="9"/>
  <c r="M57" i="9"/>
  <c r="I40" i="9"/>
  <c r="H57" i="9"/>
  <c r="L40" i="9"/>
  <c r="J57" i="9"/>
  <c r="N41" i="9"/>
  <c r="L56" i="9"/>
  <c r="I56" i="9"/>
  <c r="N39" i="9"/>
  <c r="I57" i="9"/>
  <c r="I39" i="9"/>
  <c r="I55" i="9"/>
  <c r="K41" i="9"/>
  <c r="K57" i="9"/>
  <c r="J40" i="9"/>
  <c r="M40" i="9"/>
  <c r="M56" i="9"/>
  <c r="J39" i="9"/>
  <c r="J55" i="9"/>
  <c r="P57" i="9"/>
  <c r="M39" i="9"/>
  <c r="M55" i="9"/>
  <c r="N40" i="9"/>
  <c r="N56" i="9"/>
  <c r="H56" i="9"/>
  <c r="H40" i="9"/>
  <c r="N55" i="9"/>
  <c r="L57" i="9"/>
  <c r="J41" i="9"/>
  <c r="H39" i="9"/>
  <c r="O57" i="9"/>
  <c r="K39" i="9"/>
  <c r="K55" i="9"/>
  <c r="L39" i="9"/>
  <c r="L55" i="9"/>
  <c r="P40" i="9"/>
  <c r="P56" i="9"/>
  <c r="K56" i="9"/>
  <c r="K40" i="9"/>
  <c r="J56" i="9"/>
  <c r="O40" i="9"/>
  <c r="O56" i="9"/>
  <c r="N57" i="9"/>
  <c r="O39" i="9"/>
  <c r="O55" i="9"/>
  <c r="P39" i="9"/>
  <c r="P55" i="9"/>
  <c r="B7" i="6"/>
  <c r="B14" i="6" s="1"/>
  <c r="D8" i="6"/>
  <c r="L17" i="7"/>
  <c r="M41" i="9"/>
  <c r="H41" i="9"/>
  <c r="L41" i="9"/>
  <c r="O41" i="9"/>
  <c r="P41" i="9"/>
  <c r="I41" i="9"/>
  <c r="B36" i="1"/>
  <c r="B27" i="1"/>
  <c r="B37" i="1"/>
  <c r="L27" i="7"/>
  <c r="M27" i="7"/>
  <c r="N27" i="7"/>
  <c r="O27" i="7"/>
  <c r="P27" i="7"/>
  <c r="Q27" i="7"/>
  <c r="R27" i="7"/>
  <c r="S27" i="7"/>
  <c r="T27" i="7"/>
  <c r="U27" i="7"/>
  <c r="V27" i="7"/>
  <c r="W27" i="7"/>
  <c r="L28" i="7"/>
  <c r="M28" i="7"/>
  <c r="M17" i="7" s="1"/>
  <c r="N28" i="7"/>
  <c r="N17" i="7" s="1"/>
  <c r="O28" i="7"/>
  <c r="O17" i="7" s="1"/>
  <c r="P28" i="7"/>
  <c r="P17" i="7" s="1"/>
  <c r="Q28" i="7"/>
  <c r="Q17" i="7" s="1"/>
  <c r="R28" i="7"/>
  <c r="R17" i="7" s="1"/>
  <c r="S17" i="7"/>
  <c r="T28" i="7"/>
  <c r="T17" i="7" s="1"/>
  <c r="U28" i="7"/>
  <c r="U17" i="7" s="1"/>
  <c r="V28" i="7"/>
  <c r="V17" i="7" s="1"/>
  <c r="W28" i="7"/>
  <c r="W17" i="7" s="1"/>
  <c r="L29" i="7"/>
  <c r="M29" i="7"/>
  <c r="N29" i="7"/>
  <c r="O29" i="7"/>
  <c r="P29" i="7"/>
  <c r="Q29" i="7"/>
  <c r="R29" i="7"/>
  <c r="S29" i="7"/>
  <c r="T29" i="7"/>
  <c r="U29" i="7"/>
  <c r="V29" i="7"/>
  <c r="W29" i="7"/>
  <c r="L30" i="7"/>
  <c r="M30" i="7"/>
  <c r="N30" i="7"/>
  <c r="O30" i="7"/>
  <c r="P30" i="7"/>
  <c r="Q30" i="7"/>
  <c r="R30" i="7"/>
  <c r="S30" i="7"/>
  <c r="T30" i="7"/>
  <c r="U30" i="7"/>
  <c r="V30" i="7"/>
  <c r="W30" i="7"/>
  <c r="M26" i="7"/>
  <c r="N26" i="7"/>
  <c r="O26" i="7"/>
  <c r="P26" i="7"/>
  <c r="Q26" i="7"/>
  <c r="R26" i="7"/>
  <c r="S26" i="7"/>
  <c r="T26" i="7"/>
  <c r="U26" i="7"/>
  <c r="V26" i="7"/>
  <c r="W26" i="7"/>
  <c r="L26" i="7"/>
  <c r="P8" i="5"/>
  <c r="P6" i="5"/>
  <c r="L20" i="5"/>
  <c r="L14" i="5"/>
  <c r="L12" i="5"/>
  <c r="P42" i="5"/>
  <c r="P40" i="5"/>
  <c r="P37" i="5"/>
  <c r="P32" i="5"/>
  <c r="P30" i="5"/>
  <c r="P24" i="5"/>
  <c r="P22" i="5"/>
  <c r="G24" i="5"/>
  <c r="G22" i="5"/>
  <c r="G8" i="5"/>
  <c r="G6" i="5"/>
  <c r="G42" i="5"/>
  <c r="G40" i="5"/>
  <c r="G32" i="5"/>
  <c r="G30" i="5"/>
  <c r="G37" i="5"/>
  <c r="I29" i="6"/>
  <c r="J29" i="6"/>
  <c r="K29" i="6"/>
  <c r="L29" i="6"/>
  <c r="M29" i="6"/>
  <c r="N29" i="6"/>
  <c r="O29" i="6"/>
  <c r="P29" i="6"/>
  <c r="Q29" i="6"/>
  <c r="R29" i="6"/>
  <c r="S29" i="6"/>
  <c r="H29" i="6"/>
  <c r="I28" i="6"/>
  <c r="J28" i="6"/>
  <c r="K28" i="6"/>
  <c r="L28" i="6"/>
  <c r="M28" i="6"/>
  <c r="N28" i="6"/>
  <c r="O28" i="6"/>
  <c r="P28" i="6"/>
  <c r="Q28" i="6"/>
  <c r="R28" i="6"/>
  <c r="S28" i="6"/>
  <c r="H28" i="6"/>
  <c r="I23" i="6"/>
  <c r="J23" i="6"/>
  <c r="K23" i="6"/>
  <c r="L23" i="6"/>
  <c r="M23" i="6"/>
  <c r="O23" i="6"/>
  <c r="P23" i="6"/>
  <c r="Q23" i="6"/>
  <c r="R23" i="6"/>
  <c r="S23" i="6"/>
  <c r="H23" i="6"/>
  <c r="I18" i="6"/>
  <c r="J18" i="6"/>
  <c r="K18" i="6"/>
  <c r="L18" i="6"/>
  <c r="M18" i="6"/>
  <c r="N18" i="6"/>
  <c r="O18" i="6"/>
  <c r="P18" i="6"/>
  <c r="Q18" i="6"/>
  <c r="R18" i="6"/>
  <c r="S18" i="6"/>
  <c r="B8" i="6"/>
  <c r="B15" i="6" s="1"/>
  <c r="D7" i="6"/>
  <c r="D14" i="6" s="1"/>
  <c r="C8" i="6"/>
  <c r="C15" i="6" s="1"/>
  <c r="C14" i="6"/>
  <c r="P17" i="5"/>
  <c r="P15" i="5"/>
  <c r="G19" i="5"/>
  <c r="G17" i="5"/>
  <c r="G15" i="5"/>
  <c r="G13" i="5"/>
  <c r="G11" i="5"/>
  <c r="N104" i="9" l="1"/>
  <c r="N95" i="9"/>
  <c r="H104" i="9"/>
  <c r="H95" i="9"/>
  <c r="M104" i="9"/>
  <c r="M95" i="9"/>
  <c r="L104" i="9"/>
  <c r="L95" i="9"/>
  <c r="P104" i="9"/>
  <c r="P95" i="9"/>
  <c r="P99" i="9" s="1"/>
  <c r="I77" i="9"/>
  <c r="H77" i="9"/>
  <c r="J77" i="9"/>
  <c r="J79" i="9" s="1"/>
  <c r="J83" i="9" s="1"/>
  <c r="O99" i="9"/>
  <c r="I79" i="9"/>
  <c r="I83" i="9" s="1"/>
  <c r="M77" i="9"/>
  <c r="M79" i="9" s="1"/>
  <c r="M83" i="9" s="1"/>
  <c r="K77" i="9"/>
  <c r="K79" i="9" s="1"/>
  <c r="K83" i="9" s="1"/>
  <c r="L77" i="9"/>
  <c r="L79" i="9" s="1"/>
  <c r="L83" i="9" s="1"/>
  <c r="H79" i="9"/>
  <c r="H83" i="9" s="1"/>
  <c r="N77" i="9"/>
  <c r="N79" i="9" s="1"/>
  <c r="N83" i="9" s="1"/>
  <c r="L45" i="9"/>
  <c r="L47" i="9" s="1"/>
  <c r="L51" i="9" s="1"/>
  <c r="L61" i="9"/>
  <c r="O61" i="9"/>
  <c r="O63" i="9" s="1"/>
  <c r="O67" i="9" s="1"/>
  <c r="I61" i="9"/>
  <c r="I63" i="9" s="1"/>
  <c r="I67" i="9" s="1"/>
  <c r="N61" i="9"/>
  <c r="N63" i="9" s="1"/>
  <c r="N67" i="9" s="1"/>
  <c r="J45" i="9"/>
  <c r="J47" i="9" s="1"/>
  <c r="J51" i="9" s="1"/>
  <c r="P61" i="9"/>
  <c r="P63" i="9" s="1"/>
  <c r="P67" i="9" s="1"/>
  <c r="O45" i="9"/>
  <c r="O47" i="9" s="1"/>
  <c r="O51" i="9" s="1"/>
  <c r="P45" i="9"/>
  <c r="P47" i="9" s="1"/>
  <c r="P51" i="9" s="1"/>
  <c r="K45" i="9"/>
  <c r="K47" i="9" s="1"/>
  <c r="K51" i="9" s="1"/>
  <c r="K61" i="9"/>
  <c r="K63" i="9" s="1"/>
  <c r="K67" i="9" s="1"/>
  <c r="M61" i="9"/>
  <c r="M63" i="9" s="1"/>
  <c r="M67" i="9" s="1"/>
  <c r="H61" i="9"/>
  <c r="H63" i="9" s="1"/>
  <c r="H67" i="9" s="1"/>
  <c r="J61" i="9"/>
  <c r="J63" i="9" s="1"/>
  <c r="J67" i="9" s="1"/>
  <c r="L63" i="9"/>
  <c r="L67" i="9" s="1"/>
  <c r="V60" i="9"/>
  <c r="H45" i="9"/>
  <c r="H47" i="9" s="1"/>
  <c r="H51" i="9" s="1"/>
  <c r="V59" i="9"/>
  <c r="V61" i="9"/>
  <c r="V46" i="9"/>
  <c r="V57" i="9"/>
  <c r="V58" i="9"/>
  <c r="V62" i="9"/>
  <c r="M45" i="9"/>
  <c r="M47" i="9" s="1"/>
  <c r="M51" i="9" s="1"/>
  <c r="V41" i="9"/>
  <c r="I45" i="9"/>
  <c r="I47" i="9" s="1"/>
  <c r="I51" i="9" s="1"/>
  <c r="V64" i="9"/>
  <c r="V43" i="9"/>
  <c r="V63" i="9"/>
  <c r="N45" i="9"/>
  <c r="N47" i="9" s="1"/>
  <c r="N51" i="9" s="1"/>
  <c r="D15" i="6"/>
  <c r="C35" i="6" s="1"/>
  <c r="V42" i="9"/>
  <c r="V56" i="9"/>
  <c r="V48" i="9"/>
  <c r="V47" i="9"/>
  <c r="V45" i="9"/>
  <c r="V44" i="9"/>
  <c r="V40" i="9"/>
  <c r="W12" i="5"/>
  <c r="B19" i="2"/>
  <c r="B16" i="1" s="1"/>
  <c r="AD12" i="5"/>
  <c r="AE12" i="5"/>
  <c r="U12" i="5"/>
  <c r="X12" i="5"/>
  <c r="AA12" i="5"/>
  <c r="AB12" i="5"/>
  <c r="Y12" i="5"/>
  <c r="Z12" i="5"/>
  <c r="C7" i="7"/>
  <c r="R16" i="7" s="1"/>
  <c r="V12" i="5"/>
  <c r="AC12" i="5"/>
  <c r="AF12" i="5"/>
  <c r="P11" i="5"/>
  <c r="AA11" i="5"/>
  <c r="N20" i="6" s="1"/>
  <c r="AD11" i="5"/>
  <c r="Q20" i="6" s="1"/>
  <c r="B17" i="2"/>
  <c r="B15" i="1" s="1"/>
  <c r="W11" i="5"/>
  <c r="J20" i="6" s="1"/>
  <c r="X11" i="5"/>
  <c r="K20" i="6" s="1"/>
  <c r="U11" i="5"/>
  <c r="H20" i="6" s="1"/>
  <c r="AB11" i="5"/>
  <c r="O20" i="6" s="1"/>
  <c r="C5" i="7"/>
  <c r="P15" i="7" s="1"/>
  <c r="AF11" i="5"/>
  <c r="S20" i="6" s="1"/>
  <c r="AC11" i="5"/>
  <c r="P20" i="6" s="1"/>
  <c r="AE11" i="5"/>
  <c r="R20" i="6" s="1"/>
  <c r="V11" i="5"/>
  <c r="I20" i="6" s="1"/>
  <c r="Y11" i="5"/>
  <c r="L20" i="6" s="1"/>
  <c r="Z11" i="5"/>
  <c r="M20" i="6" s="1"/>
  <c r="P19" i="5"/>
  <c r="W15" i="5"/>
  <c r="J30" i="6" s="1"/>
  <c r="Z15" i="5"/>
  <c r="M30" i="6" s="1"/>
  <c r="AD15" i="5"/>
  <c r="Q30" i="6" s="1"/>
  <c r="AF15" i="5"/>
  <c r="S30" i="6" s="1"/>
  <c r="C13" i="7"/>
  <c r="V9" i="7" s="1"/>
  <c r="U15" i="5"/>
  <c r="H30" i="6" s="1"/>
  <c r="V15" i="5"/>
  <c r="I30" i="6" s="1"/>
  <c r="X15" i="5"/>
  <c r="K30" i="6" s="1"/>
  <c r="AA15" i="5"/>
  <c r="N30" i="6" s="1"/>
  <c r="AB15" i="5"/>
  <c r="O30" i="6" s="1"/>
  <c r="B25" i="2"/>
  <c r="B19" i="1" s="1"/>
  <c r="Y15" i="5"/>
  <c r="L30" i="6" s="1"/>
  <c r="AC15" i="5"/>
  <c r="P30" i="6" s="1"/>
  <c r="AE15" i="5"/>
  <c r="R30" i="6" s="1"/>
  <c r="P13" i="5"/>
  <c r="M18" i="7"/>
  <c r="N18" i="7"/>
  <c r="O18" i="7"/>
  <c r="P18" i="7"/>
  <c r="Q18" i="7"/>
  <c r="R18" i="7"/>
  <c r="S18" i="7"/>
  <c r="T18" i="7"/>
  <c r="U18" i="7"/>
  <c r="V18" i="7"/>
  <c r="W18" i="7"/>
  <c r="M19" i="7"/>
  <c r="N19" i="7"/>
  <c r="O19" i="7"/>
  <c r="P19" i="7"/>
  <c r="Q19" i="7"/>
  <c r="R19" i="7"/>
  <c r="S19" i="7"/>
  <c r="T19" i="7"/>
  <c r="U19" i="7"/>
  <c r="V19" i="7"/>
  <c r="W19" i="7"/>
  <c r="L18" i="7"/>
  <c r="L19" i="7"/>
  <c r="G10" i="7"/>
  <c r="G21" i="7" s="1"/>
  <c r="W8" i="7"/>
  <c r="V8" i="7"/>
  <c r="U8" i="7"/>
  <c r="T8" i="7"/>
  <c r="S8" i="7"/>
  <c r="R8" i="7"/>
  <c r="Q8" i="7"/>
  <c r="P8" i="7"/>
  <c r="O8" i="7"/>
  <c r="N8" i="7"/>
  <c r="M8" i="7"/>
  <c r="L8" i="7"/>
  <c r="G8" i="7"/>
  <c r="G20" i="7" s="1"/>
  <c r="W7" i="7"/>
  <c r="V7" i="7"/>
  <c r="U7" i="7"/>
  <c r="T7" i="7"/>
  <c r="S7" i="7"/>
  <c r="R7" i="7"/>
  <c r="Q7" i="7"/>
  <c r="P7" i="7"/>
  <c r="O7" i="7"/>
  <c r="N7" i="7"/>
  <c r="M7" i="7"/>
  <c r="L7" i="7"/>
  <c r="K99" i="9" l="1"/>
  <c r="J99" i="9"/>
  <c r="N99" i="9"/>
  <c r="L99" i="9"/>
  <c r="H99" i="9"/>
  <c r="I99" i="9"/>
  <c r="M99" i="9"/>
  <c r="G12" i="7"/>
  <c r="G22" i="7" s="1"/>
  <c r="P49" i="7"/>
  <c r="O15" i="7"/>
  <c r="O49" i="7" s="1"/>
  <c r="M5" i="7"/>
  <c r="N5" i="7"/>
  <c r="L9" i="7"/>
  <c r="N15" i="7"/>
  <c r="N49" i="7" s="1"/>
  <c r="T15" i="7"/>
  <c r="T49" i="7" s="1"/>
  <c r="M15" i="7"/>
  <c r="M49" i="7" s="1"/>
  <c r="P5" i="7"/>
  <c r="P9" i="7"/>
  <c r="V15" i="7"/>
  <c r="V49" i="7" s="1"/>
  <c r="U5" i="7"/>
  <c r="S15" i="7"/>
  <c r="S49" i="7" s="1"/>
  <c r="O9" i="7"/>
  <c r="W15" i="7"/>
  <c r="W49" i="7" s="1"/>
  <c r="T5" i="7"/>
  <c r="R9" i="7"/>
  <c r="S9" i="7"/>
  <c r="V5" i="7"/>
  <c r="T9" i="7"/>
  <c r="R15" i="7"/>
  <c r="R20" i="7" s="1"/>
  <c r="R21" i="7" s="1"/>
  <c r="N12" i="6" s="1"/>
  <c r="N26" i="6" s="1"/>
  <c r="Q5" i="7"/>
  <c r="R5" i="7"/>
  <c r="U9" i="7"/>
  <c r="Q15" i="7"/>
  <c r="O5" i="7"/>
  <c r="M9" i="7"/>
  <c r="N9" i="7"/>
  <c r="L15" i="7"/>
  <c r="L49" i="7" s="1"/>
  <c r="Q16" i="7"/>
  <c r="S5" i="7"/>
  <c r="Q9" i="7"/>
  <c r="U15" i="7"/>
  <c r="U49" i="7" s="1"/>
  <c r="G4" i="7"/>
  <c r="G18" i="7" s="1"/>
  <c r="W5" i="7"/>
  <c r="L5" i="7"/>
  <c r="G6" i="7"/>
  <c r="G25" i="7" s="1"/>
  <c r="W9" i="7"/>
  <c r="O6" i="7"/>
  <c r="L6" i="7"/>
  <c r="N16" i="7"/>
  <c r="B29" i="1"/>
  <c r="B38" i="1"/>
  <c r="P6" i="7"/>
  <c r="L16" i="7"/>
  <c r="M16" i="7"/>
  <c r="M20" i="7" s="1"/>
  <c r="M21" i="7" s="1"/>
  <c r="I12" i="6" s="1"/>
  <c r="I26" i="6" s="1"/>
  <c r="B25" i="1"/>
  <c r="B34" i="1"/>
  <c r="Q6" i="7"/>
  <c r="R6" i="7"/>
  <c r="T6" i="7"/>
  <c r="U16" i="7"/>
  <c r="B26" i="1"/>
  <c r="B35" i="1"/>
  <c r="N6" i="7"/>
  <c r="W16" i="7"/>
  <c r="V16" i="7"/>
  <c r="U6" i="7"/>
  <c r="T16" i="7"/>
  <c r="T20" i="7" s="1"/>
  <c r="T21" i="7" s="1"/>
  <c r="P12" i="6" s="1"/>
  <c r="P26" i="6" s="1"/>
  <c r="M6" i="7"/>
  <c r="P16" i="7"/>
  <c r="P20" i="7" s="1"/>
  <c r="P21" i="7" s="1"/>
  <c r="L12" i="6" s="1"/>
  <c r="L26" i="6" s="1"/>
  <c r="O16" i="7"/>
  <c r="O20" i="7" s="1"/>
  <c r="O21" i="7" s="1"/>
  <c r="K12" i="6" s="1"/>
  <c r="K26" i="6" s="1"/>
  <c r="S6" i="7"/>
  <c r="V6" i="7"/>
  <c r="S16" i="7"/>
  <c r="W6" i="7"/>
  <c r="G26" i="7"/>
  <c r="G27" i="7"/>
  <c r="G28" i="7"/>
  <c r="I74" i="6" l="1"/>
  <c r="I73" i="6"/>
  <c r="I69" i="6"/>
  <c r="I72" i="6"/>
  <c r="I70" i="6"/>
  <c r="K72" i="6"/>
  <c r="K69" i="6"/>
  <c r="K73" i="6"/>
  <c r="K70" i="6"/>
  <c r="K74" i="6"/>
  <c r="P69" i="6"/>
  <c r="P74" i="6"/>
  <c r="P73" i="6"/>
  <c r="P70" i="6"/>
  <c r="P72" i="6"/>
  <c r="N70" i="6"/>
  <c r="N72" i="6"/>
  <c r="N74" i="6"/>
  <c r="N73" i="6"/>
  <c r="N69" i="6"/>
  <c r="L73" i="6"/>
  <c r="L69" i="6"/>
  <c r="L70" i="6"/>
  <c r="L72" i="6"/>
  <c r="L74" i="6"/>
  <c r="G24" i="7"/>
  <c r="G19" i="7"/>
  <c r="M10" i="7"/>
  <c r="M11" i="7" s="1"/>
  <c r="R49" i="7"/>
  <c r="N21" i="6"/>
  <c r="L21" i="6"/>
  <c r="K21" i="6"/>
  <c r="P21" i="6"/>
  <c r="I21" i="6"/>
  <c r="P10" i="7"/>
  <c r="P11" i="7" s="1"/>
  <c r="V10" i="7"/>
  <c r="V11" i="7" s="1"/>
  <c r="O10" i="7"/>
  <c r="O11" i="7" s="1"/>
  <c r="U10" i="7"/>
  <c r="U11" i="7" s="1"/>
  <c r="U20" i="7"/>
  <c r="U21" i="7" s="1"/>
  <c r="Q12" i="6" s="1"/>
  <c r="Q26" i="6" s="1"/>
  <c r="N31" i="6"/>
  <c r="S10" i="7"/>
  <c r="S11" i="7" s="1"/>
  <c r="N10" i="7"/>
  <c r="N11" i="7" s="1"/>
  <c r="Q10" i="7"/>
  <c r="Q11" i="7" s="1"/>
  <c r="Q20" i="7"/>
  <c r="Q21" i="7" s="1"/>
  <c r="M12" i="6" s="1"/>
  <c r="M26" i="6" s="1"/>
  <c r="K31" i="6"/>
  <c r="L31" i="6"/>
  <c r="R10" i="7"/>
  <c r="R11" i="7" s="1"/>
  <c r="L10" i="7"/>
  <c r="L11" i="7" s="1"/>
  <c r="I31" i="6"/>
  <c r="T10" i="7"/>
  <c r="T11" i="7" s="1"/>
  <c r="P31" i="6"/>
  <c r="W10" i="7"/>
  <c r="W11" i="7" s="1"/>
  <c r="Q49" i="7"/>
  <c r="M51" i="7"/>
  <c r="L20" i="7"/>
  <c r="L21" i="7" s="1"/>
  <c r="H12" i="6" s="1"/>
  <c r="H26" i="6" s="1"/>
  <c r="V20" i="7"/>
  <c r="V21" i="7" s="1"/>
  <c r="R12" i="6" s="1"/>
  <c r="R26" i="6" s="1"/>
  <c r="W20" i="7"/>
  <c r="W21" i="7" s="1"/>
  <c r="S12" i="6" s="1"/>
  <c r="S26" i="6" s="1"/>
  <c r="R51" i="7"/>
  <c r="T51" i="7"/>
  <c r="S20" i="7"/>
  <c r="S21" i="7" s="1"/>
  <c r="O12" i="6" s="1"/>
  <c r="O26" i="6" s="1"/>
  <c r="O51" i="7"/>
  <c r="N20" i="7"/>
  <c r="N21" i="7" s="1"/>
  <c r="J12" i="6" s="1"/>
  <c r="J26" i="6" s="1"/>
  <c r="P51" i="7"/>
  <c r="G23" i="7"/>
  <c r="G29" i="7"/>
  <c r="C9" i="4"/>
  <c r="A13" i="4" s="1"/>
  <c r="R69" i="6" l="1"/>
  <c r="R70" i="6"/>
  <c r="R73" i="6"/>
  <c r="R74" i="6"/>
  <c r="R72" i="6"/>
  <c r="O69" i="6"/>
  <c r="O73" i="6"/>
  <c r="O70" i="6"/>
  <c r="O74" i="6"/>
  <c r="O72" i="6"/>
  <c r="M74" i="6"/>
  <c r="M70" i="6"/>
  <c r="M73" i="6"/>
  <c r="M72" i="6"/>
  <c r="M69" i="6"/>
  <c r="S70" i="6"/>
  <c r="S74" i="6"/>
  <c r="S73" i="6"/>
  <c r="S72" i="6"/>
  <c r="S69" i="6"/>
  <c r="Q70" i="6"/>
  <c r="Q73" i="6"/>
  <c r="Q72" i="6"/>
  <c r="Q69" i="6"/>
  <c r="Q74" i="6"/>
  <c r="J73" i="6"/>
  <c r="J72" i="6"/>
  <c r="J69" i="6"/>
  <c r="J70" i="6"/>
  <c r="J74" i="6"/>
  <c r="H74" i="6"/>
  <c r="H73" i="6"/>
  <c r="H72" i="6"/>
  <c r="H70" i="6"/>
  <c r="H69" i="6"/>
  <c r="K41" i="6"/>
  <c r="I41" i="6"/>
  <c r="N44" i="6"/>
  <c r="L43" i="6"/>
  <c r="N41" i="6"/>
  <c r="P43" i="6"/>
  <c r="I46" i="6"/>
  <c r="L41" i="6"/>
  <c r="P41" i="6"/>
  <c r="P54" i="6"/>
  <c r="P55" i="6"/>
  <c r="P53" i="6"/>
  <c r="P42" i="6"/>
  <c r="L55" i="6"/>
  <c r="L54" i="6"/>
  <c r="L53" i="6"/>
  <c r="L42" i="6"/>
  <c r="S21" i="6"/>
  <c r="O21" i="6"/>
  <c r="M21" i="6"/>
  <c r="I55" i="6"/>
  <c r="I54" i="6"/>
  <c r="I53" i="6"/>
  <c r="I42" i="6"/>
  <c r="I43" i="6"/>
  <c r="K43" i="6"/>
  <c r="K55" i="6"/>
  <c r="K54" i="6"/>
  <c r="K53" i="6"/>
  <c r="K42" i="6"/>
  <c r="N42" i="6"/>
  <c r="N55" i="6"/>
  <c r="N54" i="6"/>
  <c r="N53" i="6"/>
  <c r="N43" i="6"/>
  <c r="U51" i="7"/>
  <c r="L46" i="6"/>
  <c r="K44" i="6"/>
  <c r="L44" i="6"/>
  <c r="L45" i="6"/>
  <c r="K45" i="6"/>
  <c r="N45" i="6"/>
  <c r="K46" i="6"/>
  <c r="N46" i="6"/>
  <c r="I44" i="6"/>
  <c r="P44" i="6"/>
  <c r="H21" i="6"/>
  <c r="P45" i="6"/>
  <c r="P46" i="6"/>
  <c r="I45" i="6"/>
  <c r="R21" i="6"/>
  <c r="J21" i="6"/>
  <c r="Q21" i="6"/>
  <c r="Q51" i="7"/>
  <c r="Q31" i="6"/>
  <c r="M31" i="6"/>
  <c r="S31" i="6"/>
  <c r="O31" i="6"/>
  <c r="R31" i="6"/>
  <c r="H31" i="6"/>
  <c r="J31" i="6"/>
  <c r="S51" i="7"/>
  <c r="V51" i="7"/>
  <c r="W51" i="7"/>
  <c r="L51" i="7"/>
  <c r="N51" i="7"/>
  <c r="A21" i="4"/>
  <c r="B5" i="4"/>
  <c r="B14" i="4" s="1"/>
  <c r="B6" i="4"/>
  <c r="C6" i="4"/>
  <c r="C5" i="4"/>
  <c r="F14" i="4" s="1"/>
  <c r="D5" i="4"/>
  <c r="F7" i="2"/>
  <c r="F19" i="2"/>
  <c r="H19" i="2" s="1"/>
  <c r="B9" i="4"/>
  <c r="A14" i="4" s="1"/>
  <c r="A22" i="4" s="1"/>
  <c r="B4" i="1"/>
  <c r="C4" i="1"/>
  <c r="B7" i="1"/>
  <c r="E18" i="1" s="1"/>
  <c r="C3" i="1"/>
  <c r="F10" i="2"/>
  <c r="F9" i="2"/>
  <c r="F29" i="2"/>
  <c r="H29" i="2" s="1"/>
  <c r="F28" i="2"/>
  <c r="H28" i="2" s="1"/>
  <c r="F20" i="2"/>
  <c r="H20" i="2" s="1"/>
  <c r="F18" i="2"/>
  <c r="H18" i="2" s="1"/>
  <c r="F17" i="2"/>
  <c r="H17" i="2" s="1"/>
  <c r="F8" i="2"/>
  <c r="O41" i="6" l="1"/>
  <c r="M55" i="6"/>
  <c r="M54" i="6"/>
  <c r="M53" i="6"/>
  <c r="M43" i="6"/>
  <c r="M42" i="6"/>
  <c r="S42" i="6"/>
  <c r="S54" i="6"/>
  <c r="S43" i="6"/>
  <c r="S55" i="6"/>
  <c r="S53" i="6"/>
  <c r="H53" i="6"/>
  <c r="H54" i="6"/>
  <c r="H43" i="6"/>
  <c r="H42" i="6"/>
  <c r="M41" i="6"/>
  <c r="S41" i="6"/>
  <c r="O43" i="6"/>
  <c r="O53" i="6"/>
  <c r="O42" i="6"/>
  <c r="O55" i="6"/>
  <c r="O54" i="6"/>
  <c r="J55" i="6"/>
  <c r="J54" i="6"/>
  <c r="J53" i="6"/>
  <c r="J42" i="6"/>
  <c r="J43" i="6"/>
  <c r="R42" i="6"/>
  <c r="R55" i="6"/>
  <c r="R54" i="6"/>
  <c r="R53" i="6"/>
  <c r="R43" i="6"/>
  <c r="Q55" i="6"/>
  <c r="Q54" i="6"/>
  <c r="Q53" i="6"/>
  <c r="Q43" i="6"/>
  <c r="Q42" i="6"/>
  <c r="H41" i="6"/>
  <c r="Q41" i="6"/>
  <c r="J41" i="6"/>
  <c r="R41" i="6"/>
  <c r="M44" i="6"/>
  <c r="O44" i="6"/>
  <c r="M46" i="6"/>
  <c r="O46" i="6"/>
  <c r="Q44" i="6"/>
  <c r="Q46" i="6"/>
  <c r="Q45" i="6"/>
  <c r="M45" i="6"/>
  <c r="O45" i="6"/>
  <c r="S46" i="6"/>
  <c r="S45" i="6"/>
  <c r="S44" i="6"/>
  <c r="R45" i="6"/>
  <c r="R46" i="6"/>
  <c r="R44" i="6"/>
  <c r="H45" i="6"/>
  <c r="H44" i="6"/>
  <c r="H46" i="6"/>
  <c r="J46" i="6"/>
  <c r="J45" i="6"/>
  <c r="J44" i="6"/>
  <c r="E28" i="1"/>
  <c r="E37" i="1"/>
  <c r="E15" i="4"/>
  <c r="B15" i="4"/>
  <c r="B23" i="4" s="1"/>
  <c r="L19" i="1"/>
  <c r="H19" i="1"/>
  <c r="D19" i="1"/>
  <c r="L17" i="1"/>
  <c r="H17" i="1"/>
  <c r="D17" i="1"/>
  <c r="L16" i="1"/>
  <c r="H16" i="1"/>
  <c r="D16" i="1"/>
  <c r="M18" i="1"/>
  <c r="H18" i="1"/>
  <c r="D18" i="1"/>
  <c r="K19" i="1"/>
  <c r="G19" i="1"/>
  <c r="C19" i="1"/>
  <c r="K17" i="1"/>
  <c r="G17" i="1"/>
  <c r="C17" i="1"/>
  <c r="K16" i="1"/>
  <c r="G16" i="1"/>
  <c r="C16" i="1"/>
  <c r="K18" i="1"/>
  <c r="G18" i="1"/>
  <c r="C18" i="1"/>
  <c r="N19" i="1"/>
  <c r="J19" i="1"/>
  <c r="F19" i="1"/>
  <c r="N17" i="1"/>
  <c r="J17" i="1"/>
  <c r="F17" i="1"/>
  <c r="N16" i="1"/>
  <c r="J16" i="1"/>
  <c r="F16" i="1"/>
  <c r="J18" i="1"/>
  <c r="F18" i="1"/>
  <c r="L18" i="1"/>
  <c r="M19" i="1"/>
  <c r="I19" i="1"/>
  <c r="E19" i="1"/>
  <c r="M17" i="1"/>
  <c r="I17" i="1"/>
  <c r="E17" i="1"/>
  <c r="M16" i="1"/>
  <c r="I16" i="1"/>
  <c r="E16" i="1"/>
  <c r="N18" i="1"/>
  <c r="I18" i="1"/>
  <c r="G12" i="4"/>
  <c r="G20" i="4" s="1"/>
  <c r="B13" i="4"/>
  <c r="B21" i="4" s="1"/>
  <c r="F13" i="4"/>
  <c r="F21" i="4" s="1"/>
  <c r="D12" i="4"/>
  <c r="D20" i="4" s="1"/>
  <c r="C12" i="4"/>
  <c r="C20" i="4" s="1"/>
  <c r="C15" i="4"/>
  <c r="C23" i="4" s="1"/>
  <c r="F12" i="4"/>
  <c r="F20" i="4" s="1"/>
  <c r="E13" i="4"/>
  <c r="E21" i="4" s="1"/>
  <c r="B22" i="4"/>
  <c r="C13" i="4"/>
  <c r="C21" i="4" s="1"/>
  <c r="D6" i="4"/>
  <c r="D13" i="4" s="1"/>
  <c r="D21" i="4" s="1"/>
  <c r="D14" i="4"/>
  <c r="D22" i="4" s="1"/>
  <c r="E14" i="4"/>
  <c r="E22" i="4" s="1"/>
  <c r="C14" i="4"/>
  <c r="C22" i="4" s="1"/>
  <c r="G14" i="4"/>
  <c r="G22" i="4" s="1"/>
  <c r="F22" i="4"/>
  <c r="F15" i="4"/>
  <c r="F23" i="4" s="1"/>
  <c r="E12" i="4"/>
  <c r="E20" i="4" s="1"/>
  <c r="E23" i="4"/>
  <c r="B12" i="4"/>
  <c r="B20" i="4" s="1"/>
  <c r="N15" i="1"/>
  <c r="M15" i="1"/>
  <c r="L15" i="1"/>
  <c r="I15" i="1"/>
  <c r="F15" i="1"/>
  <c r="E15" i="1"/>
  <c r="K15" i="1"/>
  <c r="J15" i="1"/>
  <c r="H15" i="1"/>
  <c r="G15" i="1"/>
  <c r="D15" i="1"/>
  <c r="F16" i="2"/>
  <c r="H16" i="2" s="1"/>
  <c r="C15" i="1"/>
  <c r="G26" i="1" l="1"/>
  <c r="G35" i="1"/>
  <c r="I26" i="1"/>
  <c r="I35" i="1"/>
  <c r="H26" i="1"/>
  <c r="H35" i="1"/>
  <c r="N26" i="1"/>
  <c r="N35" i="1"/>
  <c r="L26" i="1"/>
  <c r="L35" i="1"/>
  <c r="F27" i="1"/>
  <c r="F36" i="1"/>
  <c r="G25" i="1"/>
  <c r="G34" i="1"/>
  <c r="G27" i="1"/>
  <c r="G36" i="1"/>
  <c r="M27" i="1"/>
  <c r="M36" i="1"/>
  <c r="L27" i="1"/>
  <c r="L36" i="1"/>
  <c r="D29" i="1"/>
  <c r="D38" i="1"/>
  <c r="I29" i="1"/>
  <c r="I38" i="1"/>
  <c r="D28" i="1"/>
  <c r="D37" i="1"/>
  <c r="K26" i="1"/>
  <c r="K35" i="1"/>
  <c r="D25" i="1"/>
  <c r="D34" i="1"/>
  <c r="C27" i="1"/>
  <c r="C36" i="1"/>
  <c r="I27" i="1"/>
  <c r="I36" i="1"/>
  <c r="H27" i="1"/>
  <c r="H36" i="1"/>
  <c r="K27" i="1"/>
  <c r="K36" i="1"/>
  <c r="E29" i="1"/>
  <c r="E38" i="1"/>
  <c r="C29" i="1"/>
  <c r="C38" i="1"/>
  <c r="K25" i="1"/>
  <c r="K34" i="1"/>
  <c r="J29" i="1"/>
  <c r="J38" i="1"/>
  <c r="G29" i="1"/>
  <c r="G38" i="1"/>
  <c r="E25" i="1"/>
  <c r="E34" i="1"/>
  <c r="N29" i="1"/>
  <c r="N38" i="1"/>
  <c r="L38" i="1"/>
  <c r="L29" i="1"/>
  <c r="C28" i="1"/>
  <c r="C37" i="1"/>
  <c r="I28" i="1"/>
  <c r="I37" i="1"/>
  <c r="G28" i="1"/>
  <c r="G37" i="1"/>
  <c r="H28" i="1"/>
  <c r="H37" i="1"/>
  <c r="H38" i="1"/>
  <c r="H29" i="1"/>
  <c r="M29" i="1"/>
  <c r="M38" i="1"/>
  <c r="K38" i="1"/>
  <c r="K29" i="1"/>
  <c r="F25" i="1"/>
  <c r="F34" i="1"/>
  <c r="L28" i="1"/>
  <c r="L37" i="1"/>
  <c r="I25" i="1"/>
  <c r="I34" i="1"/>
  <c r="F28" i="1"/>
  <c r="F37" i="1"/>
  <c r="L25" i="1"/>
  <c r="L34" i="1"/>
  <c r="N28" i="1"/>
  <c r="N37" i="1"/>
  <c r="J28" i="1"/>
  <c r="J37" i="1"/>
  <c r="K28" i="1"/>
  <c r="K37" i="1"/>
  <c r="M28" i="1"/>
  <c r="M37" i="1"/>
  <c r="C25" i="1"/>
  <c r="C34" i="1"/>
  <c r="N25" i="1"/>
  <c r="N34" i="1"/>
  <c r="J26" i="1"/>
  <c r="J35" i="1"/>
  <c r="M26" i="1"/>
  <c r="M35" i="1"/>
  <c r="E27" i="1"/>
  <c r="E36" i="1"/>
  <c r="D27" i="1"/>
  <c r="D36" i="1"/>
  <c r="J27" i="1"/>
  <c r="J36" i="1"/>
  <c r="H25" i="1"/>
  <c r="H34" i="1"/>
  <c r="N27" i="1"/>
  <c r="N36" i="1"/>
  <c r="J25" i="1"/>
  <c r="J34" i="1"/>
  <c r="F29" i="1"/>
  <c r="F38" i="1"/>
  <c r="M25" i="1"/>
  <c r="M34" i="1"/>
  <c r="E26" i="1"/>
  <c r="E35" i="1"/>
  <c r="F26" i="1"/>
  <c r="F35" i="1"/>
  <c r="C26" i="1"/>
  <c r="C35" i="1"/>
  <c r="D26" i="1"/>
  <c r="D35" i="1"/>
  <c r="E9" i="4"/>
  <c r="F9" i="4"/>
  <c r="G15" i="4"/>
  <c r="G23" i="4" s="1"/>
  <c r="D15" i="4"/>
  <c r="D23" i="4" s="1"/>
  <c r="G13" i="4"/>
  <c r="G2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AGUN GANDARA BRUNO</author>
  </authors>
  <commentList>
    <comment ref="G28" authorId="0" shapeId="0" xr:uid="{8D4AF78B-287A-48A9-842F-786181808883}">
      <text>
        <r>
          <rPr>
            <b/>
            <sz val="9"/>
            <color rgb="FF000000"/>
            <rFont val="Tahoma"/>
            <family val="2"/>
          </rPr>
          <t xml:space="preserve">AGUN GANDARA BRUNO:
</t>
        </r>
        <r>
          <rPr>
            <sz val="9"/>
            <color rgb="FF000000"/>
            <rFont val="Tahoma"/>
            <family val="2"/>
          </rPr>
          <t>Estudiar esto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AGUN GANDARA BRUNO</author>
  </authors>
  <commentList>
    <comment ref="A4" authorId="0" shapeId="0" xr:uid="{84298A13-BBF7-415F-91C7-03AE35628BA1}">
      <text>
        <r>
          <rPr>
            <b/>
            <sz val="9"/>
            <color rgb="FF000000"/>
            <rFont val="Tahoma"/>
            <family val="2"/>
          </rPr>
          <t>AGUN GANDARA BRUNO:</t>
        </r>
        <r>
          <rPr>
            <sz val="9"/>
            <color rgb="FF000000"/>
            <rFont val="Tahoma"/>
            <family val="2"/>
          </rPr>
          <t xml:space="preserve">
</t>
        </r>
        <r>
          <rPr>
            <sz val="9"/>
            <color rgb="FF000000"/>
            <rFont val="Tahoma"/>
            <family val="2"/>
          </rPr>
          <t>mi simulación es 1m</t>
        </r>
      </text>
    </comment>
    <comment ref="A7" authorId="0" shapeId="0" xr:uid="{2D5407BF-9FD1-4866-8441-F732DCE309F5}">
      <text>
        <r>
          <rPr>
            <b/>
            <sz val="9"/>
            <color rgb="FF000000"/>
            <rFont val="Tahoma"/>
            <family val="2"/>
          </rPr>
          <t>AGUN GANDARA BRUNO:</t>
        </r>
        <r>
          <rPr>
            <sz val="9"/>
            <color rgb="FF000000"/>
            <rFont val="Tahoma"/>
            <family val="2"/>
          </rPr>
          <t xml:space="preserve">
</t>
        </r>
        <r>
          <rPr>
            <sz val="9"/>
            <color rgb="FF000000"/>
            <rFont val="Tahoma"/>
            <family val="2"/>
          </rPr>
          <t>factor pre-exponecial estándar para desorción molecular sobre superficies metálicas</t>
        </r>
      </text>
    </comment>
    <comment ref="A9" authorId="0" shapeId="0" xr:uid="{6466D18A-C930-44DB-9C75-B9C79B5C80B0}">
      <text>
        <r>
          <rPr>
            <b/>
            <sz val="9"/>
            <color rgb="FF000000"/>
            <rFont val="Tahoma"/>
            <family val="2"/>
          </rPr>
          <t>AGUN GANDARA BRUNO:</t>
        </r>
        <r>
          <rPr>
            <sz val="9"/>
            <color rgb="FF000000"/>
            <rFont val="Tahoma"/>
            <family val="2"/>
          </rPr>
          <t xml:space="preserve">
</t>
        </r>
        <r>
          <rPr>
            <sz val="9"/>
            <color rgb="FF000000"/>
            <rFont val="Tahoma"/>
            <family val="2"/>
          </rPr>
          <t>para especies débilmente adsorbidas se aproxima al valor absoluto de la entalpia de adsorción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AGUN GANDARA BRUNO</author>
  </authors>
  <commentList>
    <comment ref="A4" authorId="0" shapeId="0" xr:uid="{D9F89F99-6489-40AB-93BA-05CAB56EBBB9}">
      <text>
        <r>
          <rPr>
            <b/>
            <sz val="9"/>
            <color indexed="81"/>
            <rFont val="Tahoma"/>
            <family val="2"/>
          </rPr>
          <t>AGUN GANDARA BRUNO:</t>
        </r>
        <r>
          <rPr>
            <sz val="9"/>
            <color indexed="81"/>
            <rFont val="Tahoma"/>
            <family val="2"/>
          </rPr>
          <t xml:space="preserve">
From Surface Renewal</t>
        </r>
      </text>
    </comment>
    <comment ref="B10" authorId="0" shapeId="0" xr:uid="{219C0194-F493-4A71-81F9-7D9BBC0B6E2B}">
      <text>
        <r>
          <rPr>
            <b/>
            <sz val="9"/>
            <color rgb="FF000000"/>
            <rFont val="Tahoma"/>
            <family val="2"/>
          </rPr>
          <t>AGUN GANDARA BRUNO:</t>
        </r>
        <r>
          <rPr>
            <sz val="9"/>
            <color rgb="FF000000"/>
            <rFont val="Tahoma"/>
            <family val="2"/>
          </rPr>
          <t xml:space="preserve">
</t>
        </r>
        <r>
          <rPr>
            <sz val="9"/>
            <color rgb="FF000000"/>
            <rFont val="Tahoma"/>
            <family val="2"/>
          </rPr>
          <t>Para el Sn lo logico son 6500kg/m3 pero en DWSIM utilizo 250kg/m3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tc={52FD1AE3-D23F-A84F-84E2-4C28F54BA6C5}</author>
    <author>tc={C2ED6C22-5F0C-E147-9C92-A57FD7164B7C}</author>
    <author>tc={86BC77B4-F6C5-1547-BF6C-872CDD64ADAF}</author>
    <author>tc={826277F7-BE15-5D4C-B898-4C5A43574CAC}</author>
    <author>tc={DD4978CE-5CD1-224D-A3C6-E4703343A439}</author>
    <author>tc={81D7B3D9-4DA2-EE49-8AF5-8C3A55AB7940}</author>
    <author>tc={A8EE5075-D97F-4C47-8AE5-62944BDC935D}</author>
    <author>AGUN GANDARA BRUNO</author>
    <author>tc={AA0DC85A-8444-1A43-9E08-5829FF8B5031}</author>
    <author>tc={B11AEF49-489B-894B-9CCE-470C73033021}</author>
    <author>tc={05FFF099-2CF7-A841-9C5B-E4DE7852DE4C}</author>
    <author>tc={CBF8BDEF-3333-EF49-8B5F-D7BA6EDC2694}</author>
    <author>tc={95B37C73-C5EB-4341-ACDB-5DE41DDC5C08}</author>
  </authors>
  <commentList>
    <comment ref="B5" authorId="0" shapeId="0" xr:uid="{52FD1AE3-D23F-A84F-84E2-4C28F54BA6C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De la estimación 2 que es sobre Fe, se puede hacer una  analogía imperfecta (μ_Fe ≈ 5 × μ_Sn) pero justifica el orden de magnitud.</t>
        </r>
      </text>
    </comment>
    <comment ref="C5" authorId="1" shapeId="0" xr:uid="{C2ED6C22-5F0C-E147-9C92-A57FD7164B7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Estimación 2 (analogía con C en Fe líquido):* El único sistema bien medido con el mismo soluto es C en Fe líquido a 1600°C: DCFe≈2×10−9D_C^\mathrm{Fe} \approx 2\times10^{-9}
DCFe​≈2×10−9 m²/s (Emi &amp; Ono, 1974, Trans. Iron Steel Inst. Japan).</t>
        </r>
      </text>
    </comment>
    <comment ref="D5" authorId="2" shapeId="0" xr:uid="{86BC77B4-F6C5-1547-BF6C-872CDD64ADA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Estimación 1 (Stokes-Einstein): usando μSn(1273 K)=0.70×10−3\mu_\mathrm{Sn}(1273\,\text{K}) = 0.70\times10^{-3}
μSn​(1273K)=0.70×10−3 Pa·s (Assael et al., 2010, DOI: 10.1063/1.3467496) y rC=1.7r_C = 1.7
rC​=1.7 Å (radio de van der Waals del carbono).</t>
        </r>
      </text>
    </comment>
    <comment ref="A7" authorId="3" shapeId="0" xr:uid="{826277F7-BE15-5D4C-B898-4C5A43574CA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Parámetro mas incierto</t>
        </r>
      </text>
    </comment>
    <comment ref="D7" authorId="4" shapeId="0" xr:uid="{DD4978CE-5CD1-224D-A3C6-E4703343A439}">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
        </r>
      </text>
    </comment>
    <comment ref="B9" authorId="5" shapeId="0" xr:uid="{81D7B3D9-4DA2-EE49-8AF5-8C3A55AB794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De la estimación 2 que es sobre Fe, se puede hacer una  analogía imperfecta (μ_Fe ≈ 5 × μ_Sn) pero justifica el orden de magnitud.</t>
        </r>
      </text>
    </comment>
    <comment ref="D9" authorId="6" shapeId="0" xr:uid="{A8EE5075-D97F-4C47-8AE5-62944BDC935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No hay incertidumbre externa: la fuente es interna y consistente con los valores del reactor PFR. Referencia: Akita &amp; Yoshida (1974), Ind. Eng. Chem. Proc. Des. Dev. 13, 84 (DOI: 10.1021/i260049a016).</t>
        </r>
      </text>
    </comment>
    <comment ref="B10" authorId="7" shapeId="0" xr:uid="{D6B13684-4112-4F41-B6CC-5A06B5C26DE8}">
      <text>
        <r>
          <rPr>
            <b/>
            <sz val="9"/>
            <color rgb="FF000000"/>
            <rFont val="Tahoma"/>
            <family val="2"/>
          </rPr>
          <t>AGUN GANDARA BRUNO:</t>
        </r>
        <r>
          <rPr>
            <sz val="9"/>
            <color rgb="FF000000"/>
            <rFont val="Tahoma"/>
            <family val="2"/>
          </rPr>
          <t xml:space="preserve">
</t>
        </r>
        <r>
          <rPr>
            <sz val="9"/>
            <color rgb="FF000000"/>
            <rFont val="Tahoma"/>
            <family val="2"/>
          </rPr>
          <t>Para el Sn lo logico son 6500kg/m3 pero en DWSIM utilizo 250kg/m3</t>
        </r>
      </text>
    </comment>
    <comment ref="A11" authorId="8" shapeId="0" xr:uid="{AA0DC85A-8444-1A43-9E08-5829FF8B503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La solubilidad del carbono en estaño líquido es extremadamente baja. Del diagrama de fases binario Sn–C</t>
        </r>
      </text>
    </comment>
    <comment ref="B11" authorId="9" shapeId="0" xr:uid="{B11AEF49-489B-894B-9CCE-470C7303302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Massalski (1990), Binary Alloy Phase Diagrams a 1000°C con una solubilidad~0.01 at% y C_sat=5.5mol/m3</t>
        </r>
      </text>
    </comment>
    <comment ref="C11" authorId="10" shapeId="0" xr:uid="{05FFF099-2CF7-A841-9C5B-E4DE7852DE4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Okamoto (2012), J. Phase Equilib. Diffus. 33, 100 a 1100°C con una solubilidad~0.02–0.05 at% y C_sat=11–27 mol/m3</t>
        </r>
      </text>
    </comment>
    <comment ref="D11" authorId="11" shapeId="0" xr:uid="{CBF8BDEF-3333-EF49-8B5F-D7BA6EDC269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Estimación CALPHAD (FactSage) a 1273 K con una solubilidad~0.03–0.07 at% y C_sat=16–38mol/m3</t>
        </r>
      </text>
    </comment>
    <comment ref="B45" authorId="12" shapeId="0" xr:uid="{95B37C73-C5EB-4341-ACDB-5DE41DDC5C0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Cuando C_bulk=C_sat, \theta tiende al infinito</t>
        </r>
      </text>
    </comment>
    <comment ref="B60" authorId="0" shapeId="0" xr:uid="{20684092-AA17-4624-ADA5-D7633A4048F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De la estimación 2 que es sobre Fe, se puede hacer una  analogía imperfecta (μ_Fe ≈ 5 × μ_Sn) pero justifica el orden de magnitud.</t>
        </r>
      </text>
    </comment>
    <comment ref="C60" authorId="1" shapeId="0" xr:uid="{C9B4EBA4-7E33-4603-9A0B-4DB5C6DE994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Estimación 2 (analogía con C en Fe líquido):* El único sistema bien medido con el mismo soluto es C en Fe líquido a 1600°C: DCFe≈2×10−9D_C^\mathrm{Fe} \approx 2\times10^{-9}
DCFe​≈2×10−9 m²/s (Emi &amp; Ono, 1974, Trans. Iron Steel Inst. Japan).</t>
        </r>
      </text>
    </comment>
    <comment ref="D60" authorId="2" shapeId="0" xr:uid="{1CFF265B-B8A5-44B3-AA68-370DEA208BC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Estimación 1 (Stokes-Einstein): usando μSn(1273 K)=0.70×10−3\mu_\mathrm{Sn}(1273\,\text{K}) = 0.70\times10^{-3}
μSn​(1273K)=0.70×10−3 Pa·s (Assael et al., 2010, DOI: 10.1063/1.3467496) y rC=1.7r_C = 1.7
rC​=1.7 Å (radio de van der Waals del carbono).</t>
        </r>
      </text>
    </comment>
    <comment ref="A62" authorId="3" shapeId="0" xr:uid="{A5CF3484-31F4-44EF-ADBC-C3EC825EC2E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Parámetro mas incierto</t>
        </r>
      </text>
    </comment>
    <comment ref="A63" authorId="8" shapeId="0" xr:uid="{2DEAC14A-FFAB-4F79-8C9D-A0DA056C57C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La solubilidad del carbono en estaño líquido es extremadamente baja. Del diagrama de fases binario Sn–C</t>
        </r>
      </text>
    </comment>
    <comment ref="B63" authorId="9" shapeId="0" xr:uid="{DB85BDAC-CCE5-4866-BA37-DCEB9EBD4B0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Massalski (1990), Binary Alloy Phase Diagrams a 1000°C con una solubilidad~0.01 at% y C_sat=5.5mol/m3</t>
        </r>
      </text>
    </comment>
    <comment ref="C63" authorId="10" shapeId="0" xr:uid="{879F645E-03B8-4C76-A9DB-F9207FFDEFD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Okamoto (2012), J. Phase Equilib. Diffus. 33, 100 a 1100°C con una solubilidad~0.02–0.05 at% y C_sat=11–27 mol/m3</t>
        </r>
      </text>
    </comment>
    <comment ref="D63" authorId="11" shapeId="0" xr:uid="{AC06B023-3DE4-4254-9246-8E94ABF9164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Estimación CALPHAD (FactSage) a 1273 K con una solubilidad~0.03–0.07 at% y C_sat=16–38mol/m3</t>
        </r>
      </text>
    </comment>
    <comment ref="B65" authorId="5" shapeId="0" xr:uid="{346B401F-3A4B-4951-9EE2-21A9B0CD5D7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De la estimación 2 que es sobre Fe, se puede hacer una  analogía imperfecta (μ_Fe ≈ 5 × μ_Sn) pero justifica el orden de magnitud.</t>
        </r>
      </text>
    </comment>
    <comment ref="D65" authorId="6" shapeId="0" xr:uid="{E327338F-1150-4FBB-91D3-48515277807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No hay incertidumbre externa: la fuente es interna y consistente con los valores del reactor PFR. Referencia: Akita &amp; Yoshida (1974), Ind. Eng. Chem. Proc. Des. Dev. 13, 84 (DOI: 10.1021/i260049a016).</t>
        </r>
      </text>
    </comment>
    <comment ref="B66" authorId="7" shapeId="0" xr:uid="{E8DBFE1C-0746-4E94-8C21-693BE9FE4B6E}">
      <text>
        <r>
          <rPr>
            <b/>
            <sz val="9"/>
            <color rgb="FF000000"/>
            <rFont val="Tahoma"/>
            <family val="2"/>
          </rPr>
          <t>AGUN GANDARA BRUNO:</t>
        </r>
        <r>
          <rPr>
            <sz val="9"/>
            <color rgb="FF000000"/>
            <rFont val="Tahoma"/>
            <family val="2"/>
          </rPr>
          <t xml:space="preserve">
</t>
        </r>
        <r>
          <rPr>
            <sz val="9"/>
            <color rgb="FF000000"/>
            <rFont val="Tahoma"/>
            <family val="2"/>
          </rPr>
          <t>Para el Sn lo logico son 6500kg/m3 pero en DWSIM utilizo 250kg/m3</t>
        </r>
      </text>
    </comment>
    <comment ref="C66" authorId="7" shapeId="0" xr:uid="{7C01F9BE-C28A-4F25-A14F-A7ECE437D851}">
      <text>
        <r>
          <rPr>
            <b/>
            <sz val="9"/>
            <color rgb="FF000000"/>
            <rFont val="Tahoma"/>
            <family val="2"/>
          </rPr>
          <t>AGUN GANDARA BRUNO:</t>
        </r>
        <r>
          <rPr>
            <sz val="9"/>
            <color rgb="FF000000"/>
            <rFont val="Tahoma"/>
            <family val="2"/>
          </rPr>
          <t xml:space="preserve">
</t>
        </r>
        <r>
          <rPr>
            <sz val="9"/>
            <color rgb="FF000000"/>
            <rFont val="Tahoma"/>
            <family val="2"/>
          </rPr>
          <t>Para el Sn lo logico son 6500kg/m3 pero en DWSIM utilizo 250kg/m3</t>
        </r>
      </text>
    </comment>
    <comment ref="D66" authorId="7" shapeId="0" xr:uid="{FBFA15C5-2796-4C25-BE35-1EE02EC327DA}">
      <text>
        <r>
          <rPr>
            <b/>
            <sz val="9"/>
            <color rgb="FF000000"/>
            <rFont val="Tahoma"/>
            <family val="2"/>
          </rPr>
          <t>AGUN GANDARA BRUNO:</t>
        </r>
        <r>
          <rPr>
            <sz val="9"/>
            <color rgb="FF000000"/>
            <rFont val="Tahoma"/>
            <family val="2"/>
          </rPr>
          <t xml:space="preserve">
</t>
        </r>
        <r>
          <rPr>
            <sz val="9"/>
            <color rgb="FF000000"/>
            <rFont val="Tahoma"/>
            <family val="2"/>
          </rPr>
          <t>Para el Sn lo logico son 6500kg/m3 pero en DWSIM utilizo 250kg/m3</t>
        </r>
      </text>
    </comment>
    <comment ref="B68" authorId="5" shapeId="0" xr:uid="{70AD323F-0933-48B3-9F60-69AA456025D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De la estimación 2 que es sobre Fe, se puede hacer una  analogía imperfecta (μ_Fe ≈ 5 × μ_Sn) pero justifica el orden de magnitud.</t>
        </r>
      </text>
    </comment>
    <comment ref="D68" authorId="6" shapeId="0" xr:uid="{30C177DA-C86C-46FA-AC65-80AE7DBFA916}">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No hay incertidumbre externa: la fuente es interna y consistente con los valores del reactor PFR. Referencia: Akita &amp; Yoshida (1974), Ind. Eng. Chem. Proc. Des. Dev. 13, 84 (DOI: 10.1021/i260049a016).</t>
        </r>
      </text>
    </comment>
    <comment ref="B69" authorId="5" shapeId="0" xr:uid="{78B402FF-BCDB-433D-BB0C-6F217CEC9D3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De la estimación 2 que es sobre Fe, se puede hacer una  analogía imperfecta (μ_Fe ≈ 5 × μ_Sn) pero justifica el orden de magnitud.</t>
        </r>
      </text>
    </comment>
    <comment ref="D69" authorId="6" shapeId="0" xr:uid="{B3917E86-7EFD-49B1-B75B-8F5C1B34878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No hay incertidumbre externa: la fuente es interna y consistente con los valores del reactor PFR. Referencia: Akita &amp; Yoshida (1974), Ind. Eng. Chem. Proc. Des. Dev. 13, 84 (DOI: 10.1021/i260049a016).</t>
        </r>
      </text>
    </comment>
    <comment ref="B70" authorId="5" shapeId="0" xr:uid="{0F11CAB8-C60E-4A7A-9CF2-81F71DC1909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De la estimación 2 que es sobre Fe, se puede hacer una  analogía imperfecta (μ_Fe ≈ 5 × μ_Sn) pero justifica el orden de magnitud.</t>
        </r>
      </text>
    </comment>
    <comment ref="D70" authorId="6" shapeId="0" xr:uid="{29EF5040-35C2-4B92-AA5C-59D290B3F4B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No hay incertidumbre externa: la fuente es interna y consistente con los valores del reactor PFR. Referencia: Akita &amp; Yoshida (1974), Ind. Eng. Chem. Proc. Des. Dev. 13, 84 (DOI: 10.1021/i260049a016).</t>
        </r>
      </text>
    </comment>
  </commentList>
</comments>
</file>

<file path=xl/sharedStrings.xml><?xml version="1.0" encoding="utf-8"?>
<sst xmlns="http://schemas.openxmlformats.org/spreadsheetml/2006/main" count="1060" uniqueCount="422">
  <si>
    <t>ISOTHERMAL</t>
  </si>
  <si>
    <t>Inputs</t>
  </si>
  <si>
    <t>Const.</t>
  </si>
  <si>
    <t>Units</t>
  </si>
  <si>
    <t>Results</t>
  </si>
  <si>
    <t>K</t>
  </si>
  <si>
    <t xml:space="preserve">Pressión </t>
  </si>
  <si>
    <t>Pa</t>
  </si>
  <si>
    <t>R</t>
  </si>
  <si>
    <t>J/mol·K</t>
  </si>
  <si>
    <t xml:space="preserve">Reaction Rate Constants </t>
  </si>
  <si>
    <t>Arrheniu's law</t>
  </si>
  <si>
    <t>A_DRM</t>
  </si>
  <si>
    <t>mol/m3·s</t>
  </si>
  <si>
    <t>Ea_DRM</t>
  </si>
  <si>
    <t>J/mol</t>
  </si>
  <si>
    <t>A_RWGS</t>
  </si>
  <si>
    <t>k_4 = k_DRM</t>
  </si>
  <si>
    <t>Ea_RWGS</t>
  </si>
  <si>
    <t>Adsorption Constants</t>
  </si>
  <si>
    <t>Van't Hoff form</t>
  </si>
  <si>
    <t>1/Pa</t>
  </si>
  <si>
    <t>dH_1=dH_CH4</t>
  </si>
  <si>
    <t>dH_2=dH_CO2</t>
  </si>
  <si>
    <t>K_1 = K_CH4</t>
  </si>
  <si>
    <t>K_2 = K_CO2</t>
  </si>
  <si>
    <t>dH_3=dH_H2</t>
  </si>
  <si>
    <t>K_3 = K_H2</t>
  </si>
  <si>
    <t>K_-21 = K_C0</t>
  </si>
  <si>
    <t>dH_-21=dH_CO</t>
  </si>
  <si>
    <t>dH_-23=dH_H2O</t>
  </si>
  <si>
    <t>Equilibrium Constants</t>
  </si>
  <si>
    <t>Dimensionless</t>
  </si>
  <si>
    <t>K_eq_DRM</t>
  </si>
  <si>
    <t>K_eq_RWGS</t>
  </si>
  <si>
    <t>Temp</t>
  </si>
  <si>
    <t>k_11 = k_RWGS</t>
  </si>
  <si>
    <t>K_-21 = K_CO</t>
  </si>
  <si>
    <t>K_-23 = K_H2O</t>
  </si>
  <si>
    <t>1/bar</t>
  </si>
  <si>
    <t>K_DRM</t>
  </si>
  <si>
    <t>K_RWGS</t>
  </si>
  <si>
    <t>K4 = K_DRM</t>
  </si>
  <si>
    <t>dH_4 = dH_DRM</t>
  </si>
  <si>
    <t>K_11 = K_RWGS</t>
  </si>
  <si>
    <t>dH_11 = dH_RWGS</t>
  </si>
  <si>
    <t>A_crack</t>
  </si>
  <si>
    <t>Ea_crack</t>
  </si>
  <si>
    <t>A_boud</t>
  </si>
  <si>
    <t>Ea_boud</t>
  </si>
  <si>
    <t>k_crack</t>
  </si>
  <si>
    <t>k_boud</t>
  </si>
  <si>
    <t>SPECIFIC MODIFICATIONS OF LIQUID METALS:</t>
  </si>
  <si>
    <t xml:space="preserve">1. </t>
  </si>
  <si>
    <t>Surface reneval</t>
  </si>
  <si>
    <t>2.</t>
  </si>
  <si>
    <t>3.</t>
  </si>
  <si>
    <t>4.</t>
  </si>
  <si>
    <t>Damköhler number</t>
  </si>
  <si>
    <t>Da_s</t>
  </si>
  <si>
    <t>SURFACE RENEWAL DYNAMICS AND EFFECTIVE SITE VACANCY</t>
  </si>
  <si>
    <t>u_s</t>
  </si>
  <si>
    <t>L_s</t>
  </si>
  <si>
    <t>Parameter</t>
  </si>
  <si>
    <t>Max</t>
  </si>
  <si>
    <t>Min</t>
  </si>
  <si>
    <t>s</t>
  </si>
  <si>
    <t>\upsilon</t>
  </si>
  <si>
    <t>\theta</t>
  </si>
  <si>
    <t>E_des</t>
  </si>
  <si>
    <t>1/s</t>
  </si>
  <si>
    <t>|dH_ads|</t>
  </si>
  <si>
    <t>from "Kinetic parameters"</t>
  </si>
  <si>
    <t>k_des_CH4</t>
  </si>
  <si>
    <t>k_des_CO2</t>
  </si>
  <si>
    <t>k_des_H2</t>
  </si>
  <si>
    <t>k_des_CO</t>
  </si>
  <si>
    <t>k_des_H2O</t>
  </si>
  <si>
    <t>Temp. [K]</t>
  </si>
  <si>
    <t>723</t>
  </si>
  <si>
    <t>773</t>
  </si>
  <si>
    <t>823</t>
  </si>
  <si>
    <t>873</t>
  </si>
  <si>
    <t>923</t>
  </si>
  <si>
    <t>973</t>
  </si>
  <si>
    <t>1023</t>
  </si>
  <si>
    <t>1073</t>
  </si>
  <si>
    <t>1123</t>
  </si>
  <si>
    <t>1173</t>
  </si>
  <si>
    <t>1223</t>
  </si>
  <si>
    <t>1273</t>
  </si>
  <si>
    <t>1323</t>
  </si>
  <si>
    <t>m</t>
  </si>
  <si>
    <t>m/s</t>
  </si>
  <si>
    <t>Calculo k_des:</t>
  </si>
  <si>
    <t>Calculo Da_s:</t>
  </si>
  <si>
    <t>INTERFACIAL MASS TRANSFER AT THE GAS-LIQUID METAL BOUNDARY</t>
  </si>
  <si>
    <t>D_LM</t>
  </si>
  <si>
    <t>k_L</t>
  </si>
  <si>
    <t>Número de Hatta</t>
  </si>
  <si>
    <t>k_rxn</t>
  </si>
  <si>
    <t>m2/s</t>
  </si>
  <si>
    <t>Ha</t>
  </si>
  <si>
    <t>Dens_cat</t>
  </si>
  <si>
    <t>kg/m3</t>
  </si>
  <si>
    <t>Omega</t>
  </si>
  <si>
    <t>η_GL​</t>
  </si>
  <si>
    <t>CARBON DISSOLUTION INTO DE BULK METAL PHASE</t>
  </si>
  <si>
    <t>bar</t>
  </si>
  <si>
    <t>El numero de Hatta se sitúa entre 50 y 0,35</t>
  </si>
  <si>
    <t>D_C</t>
  </si>
  <si>
    <t>δ </t>
  </si>
  <si>
    <t>a_s</t>
  </si>
  <si>
    <t>m2/m3</t>
  </si>
  <si>
    <t>k_diss</t>
  </si>
  <si>
    <t>C_sat</t>
  </si>
  <si>
    <t>mol/m3</t>
  </si>
  <si>
    <t>r_crack</t>
  </si>
  <si>
    <t>r_Boud</t>
  </si>
  <si>
    <t>θ_C^SS</t>
  </si>
  <si>
    <t>R=</t>
  </si>
  <si>
    <t>J/mol K</t>
  </si>
  <si>
    <t>T=</t>
  </si>
  <si>
    <t>CONSTANTS</t>
  </si>
  <si>
    <t>PARTIAL PRESSURES</t>
  </si>
  <si>
    <t>K_i*P_i</t>
  </si>
  <si>
    <t>Outlet</t>
  </si>
  <si>
    <t>Inlet</t>
  </si>
  <si>
    <t>Temperature</t>
  </si>
  <si>
    <t>P_CH4</t>
  </si>
  <si>
    <t>K_CH4*P_CH4</t>
  </si>
  <si>
    <t>P_CO2</t>
  </si>
  <si>
    <t>K_CO2*P_CO2</t>
  </si>
  <si>
    <t>P_H2</t>
  </si>
  <si>
    <t>sqrt(K_H2*P_H2)</t>
  </si>
  <si>
    <t>P_CO</t>
  </si>
  <si>
    <t>K_CO*P_CO</t>
  </si>
  <si>
    <t>CH4</t>
  </si>
  <si>
    <t>K_CH4</t>
  </si>
  <si>
    <t>P_H2O</t>
  </si>
  <si>
    <t>K_H2O*P_H2O</t>
  </si>
  <si>
    <t>Ω_total</t>
  </si>
  <si>
    <t>CO2</t>
  </si>
  <si>
    <t>K_CO2</t>
  </si>
  <si>
    <t>(Ω_total)^2</t>
  </si>
  <si>
    <t>H2</t>
  </si>
  <si>
    <t>K_H2</t>
  </si>
  <si>
    <t>K_CO</t>
  </si>
  <si>
    <t>H2O</t>
  </si>
  <si>
    <t>K_H2O</t>
  </si>
  <si>
    <t>Ω_otherMid</t>
  </si>
  <si>
    <t>Ω_outlet</t>
  </si>
  <si>
    <r>
      <t>D</t>
    </r>
    <r>
      <rPr>
        <vertAlign val="subscript"/>
        <sz val="11"/>
        <color rgb="FF000000"/>
        <rFont val="Arial"/>
        <family val="2"/>
      </rPr>
      <t xml:space="preserve">LM </t>
    </r>
    <r>
      <rPr>
        <sz val="11"/>
        <color rgb="FF000000"/>
        <rFont val="Arial"/>
        <family val="2"/>
      </rPr>
      <t>= 1·10</t>
    </r>
    <r>
      <rPr>
        <vertAlign val="superscript"/>
        <sz val="11"/>
        <color rgb="FF000000"/>
        <rFont val="Arial"/>
        <family val="2"/>
      </rPr>
      <t>-8</t>
    </r>
  </si>
  <si>
    <r>
      <t>k</t>
    </r>
    <r>
      <rPr>
        <vertAlign val="subscript"/>
        <sz val="11"/>
        <color rgb="FF000000"/>
        <rFont val="Arial"/>
        <family val="2"/>
      </rPr>
      <t xml:space="preserve">rxn </t>
    </r>
    <r>
      <rPr>
        <sz val="11"/>
        <color rgb="FF000000"/>
        <rFont val="Arial"/>
        <family val="2"/>
      </rPr>
      <t>= 1·10</t>
    </r>
    <r>
      <rPr>
        <vertAlign val="superscript"/>
        <sz val="11"/>
        <color rgb="FF000000"/>
        <rFont val="Arial"/>
        <family val="2"/>
      </rPr>
      <t>4</t>
    </r>
  </si>
  <si>
    <r>
      <t>k</t>
    </r>
    <r>
      <rPr>
        <vertAlign val="subscript"/>
        <sz val="11"/>
        <color rgb="FF000000"/>
        <rFont val="Arial"/>
        <family val="2"/>
      </rPr>
      <t xml:space="preserve">L </t>
    </r>
    <r>
      <rPr>
        <sz val="11"/>
        <color rgb="FF000000"/>
        <rFont val="Arial"/>
        <family val="2"/>
      </rPr>
      <t>= 2·10</t>
    </r>
    <r>
      <rPr>
        <vertAlign val="superscript"/>
        <sz val="11"/>
        <color rgb="FF000000"/>
        <rFont val="Arial"/>
        <family val="2"/>
      </rPr>
      <t>-4</t>
    </r>
  </si>
  <si>
    <t>Ha = 50</t>
  </si>
  <si>
    <t>η_GL​=0,02</t>
  </si>
  <si>
    <r>
      <t>D</t>
    </r>
    <r>
      <rPr>
        <vertAlign val="subscript"/>
        <sz val="11"/>
        <color rgb="FF000000"/>
        <rFont val="Arial"/>
        <family val="2"/>
      </rPr>
      <t xml:space="preserve">LM </t>
    </r>
    <r>
      <rPr>
        <sz val="11"/>
        <color rgb="FF000000"/>
        <rFont val="Arial"/>
        <family val="2"/>
      </rPr>
      <t>= 1·10</t>
    </r>
    <r>
      <rPr>
        <vertAlign val="superscript"/>
        <sz val="11"/>
        <color rgb="FF000000"/>
        <rFont val="Arial"/>
        <family val="2"/>
      </rPr>
      <t>-9</t>
    </r>
  </si>
  <si>
    <r>
      <t>k</t>
    </r>
    <r>
      <rPr>
        <vertAlign val="subscript"/>
        <sz val="11"/>
        <color rgb="FF000000"/>
        <rFont val="Arial"/>
        <family val="2"/>
      </rPr>
      <t xml:space="preserve">rxn </t>
    </r>
    <r>
      <rPr>
        <sz val="11"/>
        <color rgb="FF000000"/>
        <rFont val="Arial"/>
        <family val="2"/>
      </rPr>
      <t>= 1·10</t>
    </r>
    <r>
      <rPr>
        <vertAlign val="superscript"/>
        <sz val="11"/>
        <color rgb="FF000000"/>
        <rFont val="Arial"/>
        <family val="2"/>
      </rPr>
      <t>2</t>
    </r>
  </si>
  <si>
    <r>
      <t>k</t>
    </r>
    <r>
      <rPr>
        <vertAlign val="subscript"/>
        <sz val="11"/>
        <color rgb="FF000000"/>
        <rFont val="Arial"/>
        <family val="2"/>
      </rPr>
      <t xml:space="preserve">L </t>
    </r>
    <r>
      <rPr>
        <sz val="11"/>
        <color rgb="FF000000"/>
        <rFont val="Arial"/>
        <family val="2"/>
      </rPr>
      <t>= 9·10</t>
    </r>
    <r>
      <rPr>
        <vertAlign val="superscript"/>
        <sz val="11"/>
        <color rgb="FF000000"/>
        <rFont val="Arial"/>
        <family val="2"/>
      </rPr>
      <t>-4</t>
    </r>
  </si>
  <si>
    <t>η_GL​=0,961</t>
  </si>
  <si>
    <t>Ha = 0,351</t>
  </si>
  <si>
    <t>Ha =3,53</t>
  </si>
  <si>
    <t>η_GL​=0,282</t>
  </si>
  <si>
    <t>Ha = 11,18</t>
  </si>
  <si>
    <t>η_GL​=0,09</t>
  </si>
  <si>
    <r>
      <t>k</t>
    </r>
    <r>
      <rPr>
        <vertAlign val="subscript"/>
        <sz val="11"/>
        <color rgb="FF000000"/>
        <rFont val="Arial"/>
        <family val="2"/>
      </rPr>
      <t xml:space="preserve">L </t>
    </r>
    <r>
      <rPr>
        <sz val="11"/>
        <color rgb="FF000000"/>
        <rFont val="Arial"/>
        <family val="2"/>
      </rPr>
      <t>= 3·10</t>
    </r>
    <r>
      <rPr>
        <vertAlign val="superscript"/>
        <sz val="11"/>
        <color rgb="FF000000"/>
        <rFont val="Arial"/>
        <family val="2"/>
      </rPr>
      <t>-4</t>
    </r>
  </si>
  <si>
    <t>Ha =5,8</t>
  </si>
  <si>
    <t>mol/kg·s</t>
  </si>
  <si>
    <t>Benguerba et al.</t>
  </si>
  <si>
    <t>BEP Scaling</t>
  </si>
  <si>
    <t>t_sat</t>
  </si>
  <si>
    <t>t_sat (h)</t>
  </si>
  <si>
    <t>C_sat (mol/m3)</t>
  </si>
  <si>
    <t>Temp.</t>
  </si>
  <si>
    <t>Max.</t>
  </si>
  <si>
    <t>Central</t>
  </si>
  <si>
    <t>Min.</t>
  </si>
  <si>
    <t>r_accum,surf</t>
  </si>
  <si>
    <t>A_gas</t>
  </si>
  <si>
    <t>Ea_gas</t>
  </si>
  <si>
    <t>Ea_Boud</t>
  </si>
  <si>
    <t>A_Boud</t>
  </si>
  <si>
    <t>K_crack</t>
  </si>
  <si>
    <t>dH_crack</t>
  </si>
  <si>
    <t>K_eq,crack</t>
  </si>
  <si>
    <t>K_Boud</t>
  </si>
  <si>
    <t>dH_Boud</t>
  </si>
  <si>
    <t>k_Boud</t>
  </si>
  <si>
    <t>K_eq,Boud</t>
  </si>
  <si>
    <t xml:space="preserve">C </t>
  </si>
  <si>
    <t>K_C</t>
  </si>
  <si>
    <t>dH_C</t>
  </si>
  <si>
    <t>k_DRM</t>
  </si>
  <si>
    <t>k_RWGS</t>
  </si>
  <si>
    <t>K_eq,DRM</t>
  </si>
  <si>
    <t>K_eq,RWGS</t>
  </si>
  <si>
    <t>dH_gas</t>
  </si>
  <si>
    <t>r_gass, H2O</t>
  </si>
  <si>
    <t>CARBON FORMATION AND GASIFICATION</t>
  </si>
  <si>
    <t>DRM &amp; RWGS</t>
  </si>
  <si>
    <t>y_CH4</t>
  </si>
  <si>
    <t>y_CO2</t>
  </si>
  <si>
    <t>y_CO</t>
  </si>
  <si>
    <t>y_H2</t>
  </si>
  <si>
    <t>y_H2O</t>
  </si>
  <si>
    <t>r_DRM</t>
  </si>
  <si>
    <t>r_RWGS</t>
  </si>
  <si>
    <t>Stream pressure</t>
  </si>
  <si>
    <t xml:space="preserve">r_Boud </t>
  </si>
  <si>
    <t>r_gas,H2O</t>
  </si>
  <si>
    <t>K_gas,H2O</t>
  </si>
  <si>
    <t>k_gas,H2O</t>
  </si>
  <si>
    <t>K1=K_CH4</t>
  </si>
  <si>
    <t>K_-21=K_CO</t>
  </si>
  <si>
    <t>K-23=K_H2O</t>
  </si>
  <si>
    <t>Differencia %</t>
  </si>
  <si>
    <t>Valor medio s</t>
  </si>
  <si>
    <t>Extr. Min. s</t>
  </si>
  <si>
    <t>$0,658$</t>
  </si>
  <si>
    <t>$0,439$</t>
  </si>
  <si>
    <t>$0,276$</t>
  </si>
  <si>
    <t>$0,158$</t>
  </si>
  <si>
    <t>$0,082$</t>
  </si>
  <si>
    <t>$0,040$</t>
  </si>
  <si>
    <t>$0,019$</t>
  </si>
  <si>
    <t>$9,27\cdot 10^{-3}$</t>
  </si>
  <si>
    <t>$4,92\cdot 10^{-3}$</t>
  </si>
  <si>
    <t>$2,83\cdot 10^{-3}$</t>
  </si>
  <si>
    <t>$1,95\cdot 10^{-3}$</t>
  </si>
  <si>
    <t>$1,29\cdot 10^{-3}$</t>
  </si>
  <si>
    <t>$0,463$</t>
  </si>
  <si>
    <t>$0,300$</t>
  </si>
  <si>
    <t>$0,181$</t>
  </si>
  <si>
    <t>$9,70\cdot 10^{-2}$</t>
  </si>
  <si>
    <t>$4,70\cdot 10^{-2}$</t>
  </si>
  <si>
    <t>$2,10\cdot 10^{-2}$</t>
  </si>
  <si>
    <t>$8,92\cdot 10^{-3}$</t>
  </si>
  <si>
    <t>$4,00\cdot 10^{-3}$</t>
  </si>
  <si>
    <t>$1,94\cdot 10^{-3}$</t>
  </si>
  <si>
    <t>$9,37\cdot 10^{-4}$</t>
  </si>
  <si>
    <t>$4,27\cdot 10^{-4}$</t>
  </si>
  <si>
    <t>$1,89\cdot 10^{-4}$</t>
  </si>
  <si>
    <t>$7,21\cdot 10^{-5}$</t>
  </si>
  <si>
    <t>$9,93\cdot 10^{-5}$</t>
  </si>
  <si>
    <t>$1,31\cdot 10^{-4}$</t>
  </si>
  <si>
    <t>$1,57\cdot 10^{-4}$</t>
  </si>
  <si>
    <t>$1,69\cdot 10^{-4}$</t>
  </si>
  <si>
    <t>$1,66\cdot 10^{-4}$</t>
  </si>
  <si>
    <t>$1,53\cdot 10^{-4}$</t>
  </si>
  <si>
    <t>$1,36</t>
  </si>
  <si>
    <t xml:space="preserve">Theta_CH3/Theta_v </t>
  </si>
  <si>
    <t xml:space="preserve">Theta_HCOO/Theta_v </t>
  </si>
  <si>
    <t>K_5=1</t>
  </si>
  <si>
    <t>K_11=1</t>
  </si>
  <si>
    <t>K_gas</t>
  </si>
  <si>
    <t>T=0</t>
  </si>
  <si>
    <t>final</t>
  </si>
  <si>
    <t>min k_diss</t>
  </si>
  <si>
    <t>media k_diss</t>
  </si>
  <si>
    <t>max k_diss</t>
  </si>
  <si>
    <t>C_bulk =0</t>
  </si>
  <si>
    <t>C_bulk \sim Csat</t>
  </si>
  <si>
    <t>Limite</t>
  </si>
  <si>
    <t>h</t>
  </si>
  <si>
    <t>K_eq,Boud^(-1)</t>
  </si>
  <si>
    <t>JANAF/NIST</t>
  </si>
  <si>
    <t>H (298K)</t>
  </si>
  <si>
    <t>S (298K)</t>
  </si>
  <si>
    <t>Cp (298K)</t>
  </si>
  <si>
    <t>DRM</t>
  </si>
  <si>
    <t>CH4+CO2 --&gt; 2CO + 2H2</t>
  </si>
  <si>
    <t>CO</t>
  </si>
  <si>
    <t>RWGS</t>
  </si>
  <si>
    <t>Species</t>
  </si>
  <si>
    <t>Range (K)</t>
  </si>
  <si>
    <t>A</t>
  </si>
  <si>
    <t>B</t>
  </si>
  <si>
    <t>C</t>
  </si>
  <si>
    <t>D</t>
  </si>
  <si>
    <t>E</t>
  </si>
  <si>
    <t>F</t>
  </si>
  <si>
    <t>G</t>
  </si>
  <si>
    <t>H_ref (kJ/mol)</t>
  </si>
  <si>
    <t>S°₂₉₈ (J/mol/K)</t>
  </si>
  <si>
    <t>CH₄</t>
  </si>
  <si>
    <t>298–1300</t>
  </si>
  <si>
    <t>CO₂</t>
  </si>
  <si>
    <t>298–1200</t>
  </si>
  <si>
    <t>1200–6000</t>
  </si>
  <si>
    <t>—</t>
  </si>
  <si>
    <t>H₂</t>
  </si>
  <si>
    <t>298–1000</t>
  </si>
  <si>
    <t>1000–2500</t>
  </si>
  <si>
    <t>H₂O</t>
  </si>
  <si>
    <t>500–1700</t>
  </si>
  <si>
    <t>C (gr,)</t>
  </si>
  <si>
    <t>T</t>
  </si>
  <si>
    <t>t</t>
  </si>
  <si>
    <t>S (K)</t>
  </si>
  <si>
    <t>Cp (K)</t>
  </si>
  <si>
    <t>H (K)-H(298)</t>
  </si>
  <si>
    <t>CO2 + H2  --&gt; CO + H2O</t>
  </si>
  <si>
    <t xml:space="preserve">T (K) </t>
  </si>
  <si>
    <t>\Delta Gº_{DRM} (kJ/mol)</t>
  </si>
  <si>
    <t>Kº_{thermo}</t>
  </si>
  <si>
    <t>K_{DRM,kin}</t>
  </si>
  <si>
    <t xml:space="preserve">Desviación (%) </t>
  </si>
  <si>
    <t>K_{RWGS,kin}</t>
  </si>
  <si>
    <t>S</t>
  </si>
  <si>
    <t>alfa</t>
  </si>
  <si>
    <t>Step4 (i=4)</t>
  </si>
  <si>
    <t>dH_Ni</t>
  </si>
  <si>
    <t>dH_Sn</t>
  </si>
  <si>
    <t>ddH</t>
  </si>
  <si>
    <t>E_a,Sn</t>
  </si>
  <si>
    <t>kJ/mol</t>
  </si>
  <si>
    <t>Step4 (i=11)</t>
  </si>
  <si>
    <t>Crack</t>
  </si>
  <si>
    <t>Boud</t>
  </si>
  <si>
    <t>PARTIAL PRESSURES - DWSIM  [Pa]</t>
  </si>
  <si>
    <t>PARTIAL PRESSURES - DWSIM  [bar]</t>
  </si>
  <si>
    <t>K_H2_Benguerba</t>
  </si>
  <si>
    <t>Benguerba</t>
  </si>
  <si>
    <t>dH_H2</t>
  </si>
  <si>
    <t>K_eq,Boud^(+1)</t>
  </si>
  <si>
    <t>Versión simplificada (menor rango)</t>
  </si>
  <si>
    <t>Delta Gº_{DRM} (kJ/mol)</t>
  </si>
  <si>
    <t>Delta Gº_{RWGS} (kJ/mol)</t>
  </si>
  <si>
    <t>H (K)</t>
  </si>
  <si>
    <t>CH4  --&gt; C + 2 H2</t>
  </si>
  <si>
    <t>Delta Gº_{Crack} (kJ/mol)</t>
  </si>
  <si>
    <t>K_{Crack,kin}</t>
  </si>
  <si>
    <t>2 CO  --&gt; C + CO2</t>
  </si>
  <si>
    <t>Delta Gº_{Boud} (kJ/mol)</t>
  </si>
  <si>
    <t>K_{Boud,kin}</t>
  </si>
  <si>
    <t>ChatGPT</t>
  </si>
  <si>
    <t>CLAUDE</t>
  </si>
  <si>
    <t>1200-6000</t>
  </si>
  <si>
    <t>298-1200</t>
  </si>
  <si>
    <t>1100-4000</t>
  </si>
  <si>
    <t>298-1100</t>
  </si>
  <si>
    <t>---------------------------------------------------------------------</t>
  </si>
  <si>
    <t>T(K) |      H°CO |     H°CO2 |     H°C |     S°CO |    S°CO2 |     S°C</t>
  </si>
  <si>
    <t xml:space="preserve"> | </t>
  </si>
  <si>
    <t xml:space="preserve">  | </t>
  </si>
  <si>
    <t xml:space="preserve">| </t>
  </si>
  <si>
    <t>Gºcrack-GºBoud</t>
  </si>
  <si>
    <t>Gº DRM</t>
  </si>
  <si>
    <t>Ley de Hess: Delta Gº_{DRM} = Delta Gº_{Crack}-Delta Gº_{Boud}</t>
  </si>
  <si>
    <t>Kº comb</t>
  </si>
  <si>
    <t>CH4 + 3CO2 &lt;=&gt; 4CO + 2H2O</t>
  </si>
  <si>
    <t>Comb.</t>
  </si>
  <si>
    <t>Gº comb</t>
  </si>
  <si>
    <t>Ley de Hess 2: Delta Gº_{comb} = Delta Gº_{DRM}+2*Delta Gº_{RWGS}  or   Kº_{comb} = Kº_{DRM} * Kº_{RWGS}^2</t>
  </si>
  <si>
    <t>Kº DRM*Kº RWGS^2</t>
  </si>
  <si>
    <t>Gº DRM + 2*Kº RWGS</t>
  </si>
  <si>
    <t xml:space="preserve">Diámetro interior del tubo    </t>
  </si>
  <si>
    <t xml:space="preserve">Altura de llenado de Sn       </t>
  </si>
  <si>
    <t xml:space="preserve">Volumen reactivo              </t>
  </si>
  <si>
    <t xml:space="preserve">D      </t>
  </si>
  <si>
    <t xml:space="preserve">h_LM  </t>
  </si>
  <si>
    <t xml:space="preserve">V_R     </t>
  </si>
  <si>
    <t>m3</t>
  </si>
  <si>
    <t xml:space="preserve">Temperatura                   </t>
  </si>
  <si>
    <t xml:space="preserve">Presión                       </t>
  </si>
  <si>
    <t xml:space="preserve">Caída de presión              </t>
  </si>
  <si>
    <t xml:space="preserve">Alimentación                  </t>
  </si>
  <si>
    <t xml:space="preserve">Caudal volumétrico total      </t>
  </si>
  <si>
    <t xml:space="preserve">Velocidad superficial del gas </t>
  </si>
  <si>
    <t xml:space="preserve">Caudal molar CH4        </t>
  </si>
  <si>
    <t xml:space="preserve">Caudal molar CO2    </t>
  </si>
  <si>
    <t>P</t>
  </si>
  <si>
    <t>dP</t>
  </si>
  <si>
    <t>CH4:CO2</t>
  </si>
  <si>
    <t>n_CH4,in</t>
  </si>
  <si>
    <t>n_CO2,in</t>
  </si>
  <si>
    <t>j_g</t>
  </si>
  <si>
    <t>mL_n/min</t>
  </si>
  <si>
    <t>mol/s</t>
  </si>
  <si>
    <t>ρ_g</t>
  </si>
  <si>
    <t>ρ_l</t>
  </si>
  <si>
    <t xml:space="preserve">Fracción de huecos (gas holdup) </t>
  </si>
  <si>
    <t xml:space="preserve">Masa de Sn en el reactor      </t>
  </si>
  <si>
    <t>ε_g​</t>
  </si>
  <si>
    <t>%</t>
  </si>
  <si>
    <t>Carga de catalizador (Catalyst Loading)</t>
  </si>
  <si>
    <t>ρ_cat</t>
  </si>
  <si>
    <t>W_Sn</t>
  </si>
  <si>
    <t>kg_Sn/m3_reactor</t>
  </si>
  <si>
    <t>Condiciones de Operación</t>
  </si>
  <si>
    <t>Propiedades del Metal Líquido</t>
  </si>
  <si>
    <t>PI</t>
  </si>
  <si>
    <t>ρ_Sn</t>
  </si>
  <si>
    <t>Velocidad Dinámica</t>
  </si>
  <si>
    <t>Tensión Superficial</t>
  </si>
  <si>
    <t>Calculo gas holdup</t>
  </si>
  <si>
    <t>N/m</t>
  </si>
  <si>
    <t>η_Sn</t>
  </si>
  <si>
    <t>Pa s</t>
  </si>
  <si>
    <t>C_0</t>
  </si>
  <si>
    <t>V_0</t>
  </si>
  <si>
    <t>V_gj</t>
  </si>
  <si>
    <t>V_gj+</t>
  </si>
  <si>
    <t>u*</t>
  </si>
  <si>
    <t>σ_Sn</t>
  </si>
  <si>
    <t>j_g+</t>
  </si>
  <si>
    <t>N_μ</t>
  </si>
  <si>
    <t>D_H*</t>
  </si>
  <si>
    <t>Parámetro de Distribución</t>
  </si>
  <si>
    <t>Diametro Hidráulico</t>
  </si>
  <si>
    <t>Numero de Viscosidad</t>
  </si>
  <si>
    <t>Velocidad Superficial Adimensional</t>
  </si>
  <si>
    <t xml:space="preserve">Escala de Velocidad </t>
  </si>
  <si>
    <t xml:space="preserve">Densidad Gas     </t>
  </si>
  <si>
    <t>Densidad Líquido</t>
  </si>
  <si>
    <t xml:space="preserve">Densidad del Sn Líquido       </t>
  </si>
  <si>
    <t>V_gj+_Catalan21</t>
  </si>
  <si>
    <t>Velocidad de Deriva Adimensional</t>
  </si>
  <si>
    <t>Iteración</t>
  </si>
  <si>
    <t>|ε_g​|</t>
  </si>
  <si>
    <t>ε_g​_inicial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</si>
</sst>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E+00"/>
    <numFmt numFmtId="165" formatCode="0.000"/>
    <numFmt numFmtId="166" formatCode="0.000E+00"/>
    <numFmt numFmtId="167" formatCode="0.0E+00"/>
    <numFmt numFmtId="168" formatCode="0.0000"/>
    <numFmt numFmtId="169" formatCode="0.0"/>
  </numFmts>
  <fonts count="35">
    <font>
      <sz val="11"/>
      <color theme="1"/>
      <name val="Aptos Narrow"/>
      <family val="2"/>
      <scheme val="minor"/>
    </font>
    <font>
      <b/>
      <sz val="11"/>
      <color theme="1"/>
      <name val="Aptos Narrow"/>
      <scheme val="minor"/>
    </font>
    <font>
      <b/>
      <sz val="11"/>
      <color theme="1"/>
      <name val="Arial"/>
      <family val="2"/>
    </font>
    <font>
      <sz val="11"/>
      <color theme="1"/>
      <name val="Arial"/>
      <family val="2"/>
    </font>
    <font>
      <b/>
      <sz val="9"/>
      <color indexed="81"/>
      <name val="Tahoma"/>
      <family val="2"/>
    </font>
    <font>
      <sz val="9"/>
      <color indexed="81"/>
      <name val="Tahoma"/>
      <family val="2"/>
    </font>
    <font>
      <sz val="11"/>
      <color theme="0" tint="-0.499984740745262"/>
      <name val="Aptos Narrow"/>
      <family val="2"/>
      <scheme val="minor"/>
    </font>
    <font>
      <sz val="11"/>
      <color theme="1"/>
      <name val="Calibri"/>
      <family val="2"/>
    </font>
    <font>
      <sz val="8"/>
      <name val="Aptos Narrow"/>
      <family val="2"/>
      <scheme val="minor"/>
    </font>
    <font>
      <sz val="11"/>
      <color rgb="FFFF0000"/>
      <name val="Aptos Narrow"/>
      <family val="2"/>
      <scheme val="minor"/>
    </font>
    <font>
      <b/>
      <sz val="11"/>
      <color theme="5" tint="0.39997558519241921"/>
      <name val="Aptos Narrow"/>
      <scheme val="minor"/>
    </font>
    <font>
      <b/>
      <sz val="12"/>
      <color theme="1"/>
      <name val="Aptos Narrow"/>
      <family val="2"/>
      <scheme val="minor"/>
    </font>
    <font>
      <b/>
      <sz val="11"/>
      <color theme="1"/>
      <name val="Aptos Narrow"/>
      <family val="2"/>
      <scheme val="minor"/>
    </font>
    <font>
      <b/>
      <u/>
      <sz val="12"/>
      <color theme="1"/>
      <name val="Aptos Narrow"/>
      <family val="2"/>
      <scheme val="minor"/>
    </font>
    <font>
      <sz val="12"/>
      <color rgb="FF000000"/>
      <name val="Aptos Narrow"/>
      <family val="2"/>
      <scheme val="minor"/>
    </font>
    <font>
      <sz val="11"/>
      <color rgb="FF000000"/>
      <name val="Arial"/>
      <family val="2"/>
    </font>
    <font>
      <vertAlign val="subscript"/>
      <sz val="11"/>
      <color rgb="FF000000"/>
      <name val="Arial"/>
      <family val="2"/>
    </font>
    <font>
      <vertAlign val="superscript"/>
      <sz val="11"/>
      <color rgb="FF000000"/>
      <name val="Arial"/>
      <family val="2"/>
    </font>
    <font>
      <b/>
      <sz val="9"/>
      <color rgb="FF000000"/>
      <name val="Tahoma"/>
      <family val="2"/>
    </font>
    <font>
      <sz val="9"/>
      <color rgb="FF000000"/>
      <name val="Tahoma"/>
      <family val="2"/>
    </font>
    <font>
      <sz val="11"/>
      <name val="Aptos Narrow"/>
      <family val="2"/>
      <scheme val="minor"/>
    </font>
    <font>
      <sz val="11"/>
      <color theme="1"/>
      <name val="Aptos Narrow"/>
      <scheme val="minor"/>
    </font>
    <font>
      <sz val="12"/>
      <name val="Aptos Narrow"/>
      <family val="2"/>
      <scheme val="minor"/>
    </font>
    <font>
      <b/>
      <sz val="12"/>
      <color rgb="FF000000"/>
      <name val="Aptos Narrow"/>
      <family val="2"/>
      <scheme val="minor"/>
    </font>
    <font>
      <sz val="12"/>
      <color theme="1"/>
      <name val="Aptos Narrow"/>
      <scheme val="minor"/>
    </font>
    <font>
      <sz val="11"/>
      <color theme="2" tint="-0.249977111117893"/>
      <name val="Aptos Narrow"/>
      <scheme val="minor"/>
    </font>
    <font>
      <b/>
      <sz val="11"/>
      <color theme="2" tint="-0.249977111117893"/>
      <name val="Aptos Narrow"/>
      <scheme val="minor"/>
    </font>
    <font>
      <b/>
      <sz val="11"/>
      <color rgb="FFFF0000"/>
      <name val="Aptos Narrow"/>
      <scheme val="minor"/>
    </font>
    <font>
      <b/>
      <sz val="9"/>
      <color rgb="FF1B2A4A"/>
      <name val="Calibri"/>
      <family val="2"/>
    </font>
    <font>
      <sz val="9"/>
      <color rgb="FF1A1A1A"/>
      <name val="Calibri"/>
      <family val="2"/>
    </font>
    <font>
      <sz val="11"/>
      <color rgb="FFFF0000"/>
      <name val="Aptos Narrow"/>
      <scheme val="minor"/>
    </font>
    <font>
      <b/>
      <sz val="14"/>
      <color theme="1"/>
      <name val="Aptos Narrow"/>
      <scheme val="minor"/>
    </font>
    <font>
      <b/>
      <sz val="11"/>
      <name val="Aptos Narrow"/>
      <scheme val="minor"/>
    </font>
    <font>
      <sz val="11"/>
      <color theme="9" tint="-0.249977111117893"/>
      <name val="Aptos Narrow"/>
      <family val="2"/>
      <scheme val="minor"/>
    </font>
    <font>
      <sz val="11"/>
      <color theme="0" tint="-0.249977111117893"/>
      <name val="Aptos Narrow"/>
      <family val="2"/>
      <scheme val="minor"/>
    </font>
  </fonts>
  <fills count="24">
    <fill>
      <patternFill patternType="none"/>
    </fill>
    <fill>
      <patternFill patternType="gray125"/>
    </fill>
    <fill>
      <patternFill patternType="solid">
        <fgColor theme="2" tint="-9.9978637043366805E-2"/>
        <bgColor indexed="64"/>
      </patternFill>
    </fill>
    <fill>
      <patternFill patternType="solid">
        <fgColor theme="2"/>
        <bgColor indexed="64"/>
      </patternFill>
    </fill>
    <fill>
      <patternFill patternType="solid">
        <fgColor theme="9" tint="0.59999389629810485"/>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D0CECE"/>
        <bgColor rgb="FF000000"/>
      </patternFill>
    </fill>
    <fill>
      <patternFill patternType="solid">
        <fgColor theme="0" tint="-0.14999847407452621"/>
        <bgColor indexed="64"/>
      </patternFill>
    </fill>
    <fill>
      <patternFill patternType="solid">
        <fgColor theme="3" tint="0.8999908444471571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D6E4F0"/>
        <bgColor indexed="64"/>
      </patternFill>
    </fill>
    <fill>
      <patternFill patternType="solid">
        <fgColor rgb="FFFFFFFF"/>
        <bgColor indexed="64"/>
      </patternFill>
    </fill>
    <fill>
      <patternFill patternType="solid">
        <fgColor rgb="FFEBF5FB"/>
        <bgColor indexed="64"/>
      </patternFill>
    </fill>
    <fill>
      <patternFill patternType="solid">
        <fgColor theme="9" tint="0.79998168889431442"/>
        <bgColor indexed="64"/>
      </patternFill>
    </fill>
    <fill>
      <patternFill patternType="solid">
        <fgColor rgb="FFAED3F9"/>
        <bgColor indexed="64"/>
      </patternFill>
    </fill>
    <fill>
      <patternFill patternType="solid">
        <fgColor theme="3" tint="0.749992370372631"/>
        <bgColor indexed="64"/>
      </patternFill>
    </fill>
    <fill>
      <patternFill patternType="solid">
        <fgColor theme="5" tint="0.79998168889431442"/>
        <bgColor indexed="64"/>
      </patternFill>
    </fill>
    <fill>
      <patternFill patternType="solid">
        <fgColor theme="2" tint="-0.249977111117893"/>
        <bgColor indexed="64"/>
      </patternFill>
    </fill>
    <fill>
      <patternFill patternType="solid">
        <fgColor theme="5" tint="0.59999389629810485"/>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right style="medium">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style="medium">
        <color rgb="FFAEB6BF"/>
      </left>
      <right style="medium">
        <color rgb="FFAEB6BF"/>
      </right>
      <top style="medium">
        <color rgb="FFAEB6BF"/>
      </top>
      <bottom style="medium">
        <color rgb="FFAEB6BF"/>
      </bottom>
      <diagonal/>
    </border>
    <border>
      <left/>
      <right style="medium">
        <color rgb="FFAEB6BF"/>
      </right>
      <top style="medium">
        <color rgb="FFAEB6BF"/>
      </top>
      <bottom style="medium">
        <color rgb="FFAEB6BF"/>
      </bottom>
      <diagonal/>
    </border>
    <border>
      <left style="medium">
        <color rgb="FFAEB6BF"/>
      </left>
      <right style="medium">
        <color rgb="FFAEB6BF"/>
      </right>
      <top/>
      <bottom style="medium">
        <color rgb="FFAEB6BF"/>
      </bottom>
      <diagonal/>
    </border>
    <border>
      <left/>
      <right style="medium">
        <color rgb="FFAEB6BF"/>
      </right>
      <top/>
      <bottom style="medium">
        <color rgb="FFAEB6BF"/>
      </bottom>
      <diagonal/>
    </border>
    <border>
      <left style="thin">
        <color indexed="64"/>
      </left>
      <right style="medium">
        <color rgb="FFAEB6BF"/>
      </right>
      <top style="thin">
        <color indexed="64"/>
      </top>
      <bottom/>
      <diagonal/>
    </border>
    <border>
      <left style="thin">
        <color indexed="64"/>
      </left>
      <right style="medium">
        <color rgb="FFAEB6BF"/>
      </right>
      <top/>
      <bottom/>
      <diagonal/>
    </border>
    <border>
      <left/>
      <right/>
      <top style="medium">
        <color rgb="FFAEB6BF"/>
      </top>
      <bottom style="medium">
        <color rgb="FFAEB6BF"/>
      </bottom>
      <diagonal/>
    </border>
    <border>
      <left/>
      <right/>
      <top/>
      <bottom style="medium">
        <color rgb="FFAEB6BF"/>
      </bottom>
      <diagonal/>
    </border>
  </borders>
  <cellStyleXfs count="1">
    <xf numFmtId="0" fontId="0" fillId="0" borderId="0"/>
  </cellStyleXfs>
  <cellXfs count="326">
    <xf numFmtId="0" fontId="0" fillId="0" borderId="0" xfId="0"/>
    <xf numFmtId="0" fontId="2" fillId="2" borderId="0" xfId="0" applyFont="1" applyFill="1" applyAlignment="1">
      <alignment horizontal="justify" vertical="center"/>
    </xf>
    <xf numFmtId="0" fontId="3" fillId="2" borderId="0" xfId="0" applyFont="1" applyFill="1"/>
    <xf numFmtId="0" fontId="0" fillId="3" borderId="0" xfId="0" applyFill="1"/>
    <xf numFmtId="0" fontId="1" fillId="3" borderId="0" xfId="0" applyFont="1" applyFill="1"/>
    <xf numFmtId="11" fontId="0" fillId="0" borderId="0" xfId="0" applyNumberFormat="1"/>
    <xf numFmtId="0" fontId="0" fillId="0" borderId="0" xfId="0" quotePrefix="1"/>
    <xf numFmtId="165" fontId="0" fillId="0" borderId="0" xfId="0" applyNumberFormat="1"/>
    <xf numFmtId="0" fontId="6" fillId="0" borderId="0" xfId="0" applyFont="1"/>
    <xf numFmtId="0" fontId="1" fillId="0" borderId="0" xfId="0" applyFont="1"/>
    <xf numFmtId="0" fontId="7" fillId="0" borderId="0" xfId="0" applyFont="1" applyAlignment="1">
      <alignment horizontal="justify" vertical="center"/>
    </xf>
    <xf numFmtId="0" fontId="0" fillId="5" borderId="0" xfId="0" applyFill="1"/>
    <xf numFmtId="0" fontId="0" fillId="2" borderId="0" xfId="0" applyFill="1"/>
    <xf numFmtId="0" fontId="1" fillId="5" borderId="0" xfId="0" applyFont="1" applyFill="1"/>
    <xf numFmtId="166" fontId="0" fillId="0" borderId="0" xfId="0" applyNumberFormat="1"/>
    <xf numFmtId="0" fontId="1" fillId="2" borderId="0" xfId="0" applyFont="1" applyFill="1"/>
    <xf numFmtId="11" fontId="1" fillId="0" borderId="0" xfId="0" applyNumberFormat="1" applyFont="1"/>
    <xf numFmtId="0" fontId="9" fillId="0" borderId="0" xfId="0" applyFont="1"/>
    <xf numFmtId="165" fontId="1" fillId="0" borderId="2" xfId="0" applyNumberFormat="1" applyFont="1" applyBorder="1"/>
    <xf numFmtId="165" fontId="1" fillId="0" borderId="3" xfId="0" applyNumberFormat="1" applyFont="1" applyBorder="1"/>
    <xf numFmtId="165" fontId="1" fillId="0" borderId="5" xfId="0" applyNumberFormat="1" applyFont="1" applyBorder="1"/>
    <xf numFmtId="165" fontId="1" fillId="0" borderId="6" xfId="0" applyNumberFormat="1" applyFont="1" applyBorder="1"/>
    <xf numFmtId="165" fontId="10" fillId="0" borderId="4" xfId="0" applyNumberFormat="1" applyFont="1" applyBorder="1"/>
    <xf numFmtId="165" fontId="10" fillId="0" borderId="7" xfId="0" applyNumberFormat="1" applyFont="1" applyBorder="1"/>
    <xf numFmtId="165" fontId="1" fillId="0" borderId="1" xfId="0" applyNumberFormat="1" applyFont="1" applyBorder="1"/>
    <xf numFmtId="0" fontId="11" fillId="2" borderId="0" xfId="0" applyFont="1" applyFill="1" applyAlignment="1">
      <alignment horizontal="right"/>
    </xf>
    <xf numFmtId="0" fontId="11" fillId="2" borderId="0" xfId="0" applyFont="1" applyFill="1"/>
    <xf numFmtId="0" fontId="11" fillId="6" borderId="1" xfId="0" applyFont="1" applyFill="1" applyBorder="1"/>
    <xf numFmtId="0" fontId="12" fillId="3" borderId="0" xfId="0" applyFont="1" applyFill="1"/>
    <xf numFmtId="0" fontId="13" fillId="3" borderId="0" xfId="0" applyFont="1" applyFill="1"/>
    <xf numFmtId="11" fontId="0" fillId="6" borderId="1" xfId="0" applyNumberFormat="1" applyFill="1" applyBorder="1"/>
    <xf numFmtId="0" fontId="11" fillId="8" borderId="0" xfId="0" applyFont="1" applyFill="1"/>
    <xf numFmtId="0" fontId="0" fillId="8" borderId="0" xfId="0" applyFill="1"/>
    <xf numFmtId="0" fontId="0" fillId="6" borderId="1" xfId="0" applyFill="1" applyBorder="1"/>
    <xf numFmtId="0" fontId="11" fillId="0" borderId="0" xfId="0" applyFont="1"/>
    <xf numFmtId="0" fontId="1" fillId="0" borderId="8" xfId="0" applyFont="1" applyBorder="1"/>
    <xf numFmtId="0" fontId="1" fillId="0" borderId="9" xfId="0" applyFont="1" applyBorder="1"/>
    <xf numFmtId="0" fontId="1" fillId="0" borderId="10" xfId="0" applyFont="1" applyBorder="1"/>
    <xf numFmtId="0" fontId="15" fillId="0" borderId="11" xfId="0" applyFont="1" applyBorder="1" applyAlignment="1">
      <alignment vertical="center"/>
    </xf>
    <xf numFmtId="0" fontId="15" fillId="0" borderId="12" xfId="0" applyFont="1" applyBorder="1" applyAlignment="1">
      <alignment vertical="center"/>
    </xf>
    <xf numFmtId="0" fontId="15" fillId="0" borderId="13" xfId="0" applyFont="1" applyBorder="1" applyAlignment="1">
      <alignment vertical="center"/>
    </xf>
    <xf numFmtId="0" fontId="1" fillId="0" borderId="14" xfId="0" applyFont="1" applyBorder="1"/>
    <xf numFmtId="0" fontId="1" fillId="0" borderId="15" xfId="0" applyFont="1" applyBorder="1"/>
    <xf numFmtId="0" fontId="1" fillId="0" borderId="16" xfId="0" applyFont="1" applyBorder="1"/>
    <xf numFmtId="0" fontId="11" fillId="6" borderId="19" xfId="0" applyFont="1" applyFill="1" applyBorder="1"/>
    <xf numFmtId="0" fontId="0" fillId="3" borderId="21" xfId="0" applyFill="1" applyBorder="1"/>
    <xf numFmtId="0" fontId="0" fillId="3" borderId="23" xfId="0" applyFill="1" applyBorder="1"/>
    <xf numFmtId="11" fontId="20" fillId="0" borderId="0" xfId="0" applyNumberFormat="1" applyFont="1"/>
    <xf numFmtId="0" fontId="21" fillId="2" borderId="0" xfId="0" applyFont="1" applyFill="1"/>
    <xf numFmtId="0" fontId="0" fillId="0" borderId="6" xfId="0" applyBorder="1"/>
    <xf numFmtId="0" fontId="0" fillId="0" borderId="3" xfId="0" applyBorder="1"/>
    <xf numFmtId="0" fontId="0" fillId="0" borderId="4" xfId="0" applyBorder="1"/>
    <xf numFmtId="0" fontId="0" fillId="0" borderId="7" xfId="0" applyBorder="1"/>
    <xf numFmtId="0" fontId="1" fillId="0" borderId="19" xfId="0" applyFont="1" applyBorder="1"/>
    <xf numFmtId="0" fontId="0" fillId="0" borderId="24" xfId="0" applyBorder="1"/>
    <xf numFmtId="0" fontId="0" fillId="3" borderId="25" xfId="0" applyFill="1" applyBorder="1"/>
    <xf numFmtId="0" fontId="12" fillId="3" borderId="22" xfId="0" applyFont="1" applyFill="1" applyBorder="1"/>
    <xf numFmtId="0" fontId="0" fillId="3" borderId="22" xfId="0" applyFill="1" applyBorder="1"/>
    <xf numFmtId="0" fontId="0" fillId="3" borderId="26" xfId="0" applyFill="1" applyBorder="1"/>
    <xf numFmtId="0" fontId="11" fillId="2" borderId="26" xfId="0" applyFont="1" applyFill="1" applyBorder="1"/>
    <xf numFmtId="0" fontId="0" fillId="3" borderId="27" xfId="0" applyFill="1" applyBorder="1"/>
    <xf numFmtId="0" fontId="0" fillId="3" borderId="28" xfId="0" applyFill="1" applyBorder="1"/>
    <xf numFmtId="0" fontId="0" fillId="3" borderId="29" xfId="0" applyFill="1" applyBorder="1"/>
    <xf numFmtId="0" fontId="9" fillId="6" borderId="1" xfId="0" applyFont="1" applyFill="1" applyBorder="1"/>
    <xf numFmtId="11" fontId="22" fillId="0" borderId="0" xfId="0" applyNumberFormat="1" applyFont="1"/>
    <xf numFmtId="0" fontId="0" fillId="0" borderId="30" xfId="0" applyBorder="1"/>
    <xf numFmtId="0" fontId="0" fillId="0" borderId="31" xfId="0" applyBorder="1"/>
    <xf numFmtId="0" fontId="0" fillId="0" borderId="32" xfId="0" applyBorder="1"/>
    <xf numFmtId="0" fontId="1" fillId="0" borderId="1" xfId="0" applyFont="1" applyBorder="1"/>
    <xf numFmtId="0" fontId="0" fillId="2" borderId="26" xfId="0" applyFill="1" applyBorder="1"/>
    <xf numFmtId="0" fontId="12" fillId="3" borderId="28" xfId="0" applyFont="1" applyFill="1" applyBorder="1"/>
    <xf numFmtId="0" fontId="23" fillId="0" borderId="0" xfId="0" applyFont="1"/>
    <xf numFmtId="0" fontId="24" fillId="0" borderId="0" xfId="0" applyFont="1"/>
    <xf numFmtId="0" fontId="21" fillId="0" borderId="0" xfId="0" applyFont="1"/>
    <xf numFmtId="0" fontId="0" fillId="0" borderId="2" xfId="0" applyBorder="1"/>
    <xf numFmtId="0" fontId="0" fillId="0" borderId="33" xfId="0" applyBorder="1"/>
    <xf numFmtId="0" fontId="0" fillId="0" borderId="5" xfId="0" applyBorder="1"/>
    <xf numFmtId="0" fontId="0" fillId="0" borderId="34" xfId="0" applyBorder="1"/>
    <xf numFmtId="0" fontId="0" fillId="11" borderId="34" xfId="0" applyFill="1" applyBorder="1"/>
    <xf numFmtId="0" fontId="0" fillId="11" borderId="1" xfId="0" applyFill="1" applyBorder="1"/>
    <xf numFmtId="0" fontId="1" fillId="0" borderId="30" xfId="0" applyFont="1" applyBorder="1"/>
    <xf numFmtId="10" fontId="0" fillId="0" borderId="0" xfId="0" applyNumberFormat="1"/>
    <xf numFmtId="0" fontId="11" fillId="8" borderId="2" xfId="0" applyFont="1" applyFill="1" applyBorder="1"/>
    <xf numFmtId="0" fontId="0" fillId="8" borderId="3" xfId="0" applyFill="1" applyBorder="1"/>
    <xf numFmtId="0" fontId="0" fillId="8" borderId="4" xfId="0" applyFill="1" applyBorder="1"/>
    <xf numFmtId="0" fontId="0" fillId="7" borderId="2" xfId="0" applyFill="1" applyBorder="1"/>
    <xf numFmtId="0" fontId="0" fillId="7" borderId="3" xfId="0" applyFill="1" applyBorder="1"/>
    <xf numFmtId="0" fontId="0" fillId="7" borderId="4" xfId="0" applyFill="1" applyBorder="1"/>
    <xf numFmtId="0" fontId="11" fillId="8" borderId="33" xfId="0" applyFont="1" applyFill="1" applyBorder="1"/>
    <xf numFmtId="0" fontId="0" fillId="8" borderId="32" xfId="0" applyFill="1" applyBorder="1"/>
    <xf numFmtId="0" fontId="0" fillId="3" borderId="33" xfId="0" applyFill="1" applyBorder="1"/>
    <xf numFmtId="0" fontId="0" fillId="3" borderId="5" xfId="0" applyFill="1" applyBorder="1"/>
    <xf numFmtId="0" fontId="0" fillId="9" borderId="33" xfId="0" applyFill="1" applyBorder="1"/>
    <xf numFmtId="165" fontId="14" fillId="0" borderId="0" xfId="0" applyNumberFormat="1" applyFont="1"/>
    <xf numFmtId="11" fontId="14" fillId="0" borderId="0" xfId="0" applyNumberFormat="1" applyFont="1"/>
    <xf numFmtId="11" fontId="14" fillId="0" borderId="32" xfId="0" applyNumberFormat="1" applyFont="1" applyBorder="1"/>
    <xf numFmtId="0" fontId="0" fillId="11" borderId="5" xfId="0" applyFill="1" applyBorder="1"/>
    <xf numFmtId="0" fontId="0" fillId="11" borderId="6" xfId="0" applyFill="1" applyBorder="1"/>
    <xf numFmtId="0" fontId="0" fillId="11" borderId="7" xfId="0" applyFill="1" applyBorder="1"/>
    <xf numFmtId="0" fontId="0" fillId="2" borderId="5" xfId="0" applyFill="1" applyBorder="1"/>
    <xf numFmtId="165" fontId="14" fillId="10" borderId="6" xfId="0" applyNumberFormat="1" applyFont="1" applyFill="1" applyBorder="1"/>
    <xf numFmtId="165" fontId="14" fillId="10" borderId="7" xfId="0" applyNumberFormat="1" applyFont="1" applyFill="1" applyBorder="1"/>
    <xf numFmtId="0" fontId="0" fillId="9" borderId="5" xfId="0" applyFill="1" applyBorder="1"/>
    <xf numFmtId="11" fontId="14" fillId="0" borderId="6" xfId="0" applyNumberFormat="1" applyFont="1" applyBorder="1"/>
    <xf numFmtId="11" fontId="14" fillId="0" borderId="7" xfId="0" applyNumberFormat="1" applyFont="1" applyBorder="1"/>
    <xf numFmtId="0" fontId="14" fillId="0" borderId="0" xfId="0" applyFont="1"/>
    <xf numFmtId="0" fontId="14" fillId="0" borderId="32" xfId="0" applyFont="1" applyBorder="1"/>
    <xf numFmtId="0" fontId="14" fillId="0" borderId="6" xfId="0" applyFont="1" applyBorder="1"/>
    <xf numFmtId="0" fontId="14" fillId="0" borderId="7" xfId="0" applyFont="1" applyBorder="1"/>
    <xf numFmtId="0" fontId="0" fillId="2" borderId="34" xfId="0" applyFill="1" applyBorder="1"/>
    <xf numFmtId="0" fontId="14" fillId="10" borderId="30" xfId="0" applyFont="1" applyFill="1" applyBorder="1"/>
    <xf numFmtId="0" fontId="14" fillId="10" borderId="31" xfId="0" applyFont="1" applyFill="1" applyBorder="1"/>
    <xf numFmtId="0" fontId="0" fillId="11" borderId="30" xfId="0" applyFill="1" applyBorder="1"/>
    <xf numFmtId="0" fontId="0" fillId="11" borderId="31" xfId="0" applyFill="1" applyBorder="1"/>
    <xf numFmtId="0" fontId="11" fillId="12" borderId="33" xfId="0" applyFont="1" applyFill="1" applyBorder="1"/>
    <xf numFmtId="0" fontId="11" fillId="12" borderId="5" xfId="0" applyFont="1" applyFill="1" applyBorder="1"/>
    <xf numFmtId="0" fontId="0" fillId="12" borderId="1" xfId="0" applyFill="1" applyBorder="1"/>
    <xf numFmtId="0" fontId="0" fillId="13" borderId="2" xfId="0" applyFill="1" applyBorder="1"/>
    <xf numFmtId="0" fontId="0" fillId="13" borderId="3" xfId="0" applyFill="1" applyBorder="1"/>
    <xf numFmtId="0" fontId="0" fillId="13" borderId="4" xfId="0" applyFill="1" applyBorder="1"/>
    <xf numFmtId="0" fontId="0" fillId="13" borderId="33" xfId="0" applyFill="1" applyBorder="1"/>
    <xf numFmtId="0" fontId="0" fillId="13" borderId="0" xfId="0" applyFill="1"/>
    <xf numFmtId="0" fontId="0" fillId="13" borderId="32" xfId="0" applyFill="1" applyBorder="1"/>
    <xf numFmtId="0" fontId="0" fillId="13" borderId="5" xfId="0" applyFill="1" applyBorder="1"/>
    <xf numFmtId="0" fontId="0" fillId="13" borderId="6" xfId="0" applyFill="1" applyBorder="1"/>
    <xf numFmtId="0" fontId="0" fillId="13" borderId="7" xfId="0" applyFill="1" applyBorder="1"/>
    <xf numFmtId="167" fontId="0" fillId="6" borderId="1" xfId="0" applyNumberFormat="1" applyFill="1" applyBorder="1"/>
    <xf numFmtId="164" fontId="0" fillId="6" borderId="1" xfId="0" applyNumberFormat="1" applyFill="1" applyBorder="1"/>
    <xf numFmtId="0" fontId="1" fillId="6" borderId="1" xfId="0" applyFont="1" applyFill="1" applyBorder="1"/>
    <xf numFmtId="0" fontId="1" fillId="3" borderId="25" xfId="0" applyFont="1" applyFill="1" applyBorder="1"/>
    <xf numFmtId="0" fontId="0" fillId="0" borderId="26" xfId="0" applyBorder="1"/>
    <xf numFmtId="0" fontId="0" fillId="0" borderId="23" xfId="0" applyBorder="1"/>
    <xf numFmtId="0" fontId="0" fillId="0" borderId="27" xfId="0" applyBorder="1"/>
    <xf numFmtId="0" fontId="0" fillId="0" borderId="28" xfId="0" applyBorder="1"/>
    <xf numFmtId="0" fontId="0" fillId="0" borderId="29" xfId="0" applyBorder="1"/>
    <xf numFmtId="0" fontId="1" fillId="0" borderId="26" xfId="0" applyFont="1" applyBorder="1"/>
    <xf numFmtId="0" fontId="1" fillId="0" borderId="27" xfId="0" applyFont="1" applyBorder="1"/>
    <xf numFmtId="11" fontId="0" fillId="0" borderId="28" xfId="0" applyNumberFormat="1" applyBorder="1"/>
    <xf numFmtId="0" fontId="25" fillId="0" borderId="26" xfId="0" applyFont="1" applyBorder="1"/>
    <xf numFmtId="11" fontId="25" fillId="0" borderId="0" xfId="0" applyNumberFormat="1" applyFont="1"/>
    <xf numFmtId="0" fontId="25" fillId="0" borderId="23" xfId="0" applyFont="1" applyBorder="1"/>
    <xf numFmtId="0" fontId="25" fillId="0" borderId="0" xfId="0" applyFont="1"/>
    <xf numFmtId="0" fontId="25" fillId="0" borderId="27" xfId="0" applyFont="1" applyBorder="1"/>
    <xf numFmtId="0" fontId="25" fillId="0" borderId="28" xfId="0" applyFont="1" applyBorder="1"/>
    <xf numFmtId="0" fontId="25" fillId="0" borderId="29" xfId="0" applyFont="1" applyBorder="1"/>
    <xf numFmtId="0" fontId="26" fillId="0" borderId="26" xfId="0" applyFont="1" applyBorder="1"/>
    <xf numFmtId="0" fontId="26" fillId="0" borderId="27" xfId="0" applyFont="1" applyBorder="1"/>
    <xf numFmtId="166" fontId="21" fillId="0" borderId="0" xfId="0" applyNumberFormat="1" applyFont="1"/>
    <xf numFmtId="164" fontId="0" fillId="6" borderId="19" xfId="0" applyNumberFormat="1" applyFill="1" applyBorder="1"/>
    <xf numFmtId="11" fontId="0" fillId="12" borderId="1" xfId="0" applyNumberFormat="1" applyFill="1" applyBorder="1"/>
    <xf numFmtId="0" fontId="20" fillId="6" borderId="1" xfId="0" applyFont="1" applyFill="1" applyBorder="1"/>
    <xf numFmtId="0" fontId="20" fillId="0" borderId="0" xfId="0" applyFont="1"/>
    <xf numFmtId="0" fontId="20" fillId="12" borderId="1" xfId="0" applyFont="1" applyFill="1" applyBorder="1"/>
    <xf numFmtId="0" fontId="0" fillId="6" borderId="24" xfId="0" applyFill="1" applyBorder="1"/>
    <xf numFmtId="11" fontId="0" fillId="0" borderId="30" xfId="0" applyNumberFormat="1" applyBorder="1"/>
    <xf numFmtId="11" fontId="1" fillId="0" borderId="30" xfId="0" applyNumberFormat="1" applyFont="1" applyBorder="1"/>
    <xf numFmtId="11" fontId="0" fillId="0" borderId="3" xfId="0" applyNumberFormat="1" applyBorder="1"/>
    <xf numFmtId="167" fontId="0" fillId="6" borderId="34" xfId="0" applyNumberFormat="1" applyFill="1" applyBorder="1"/>
    <xf numFmtId="0" fontId="0" fillId="12" borderId="34" xfId="0" applyFill="1" applyBorder="1"/>
    <xf numFmtId="0" fontId="0" fillId="6" borderId="34" xfId="0" applyFill="1" applyBorder="1"/>
    <xf numFmtId="0" fontId="20" fillId="12" borderId="34" xfId="0" applyFont="1" applyFill="1" applyBorder="1"/>
    <xf numFmtId="0" fontId="20" fillId="6" borderId="34" xfId="0" applyFont="1" applyFill="1" applyBorder="1"/>
    <xf numFmtId="11" fontId="0" fillId="0" borderId="1" xfId="0" applyNumberFormat="1" applyBorder="1"/>
    <xf numFmtId="0" fontId="27" fillId="0" borderId="1" xfId="0" applyFont="1" applyBorder="1"/>
    <xf numFmtId="0" fontId="28" fillId="15" borderId="35" xfId="0" applyFont="1" applyFill="1" applyBorder="1" applyAlignment="1">
      <alignment horizontal="center" vertical="center" wrapText="1"/>
    </xf>
    <xf numFmtId="0" fontId="28" fillId="15" borderId="36" xfId="0" applyFont="1" applyFill="1" applyBorder="1" applyAlignment="1">
      <alignment horizontal="center" vertical="center" wrapText="1"/>
    </xf>
    <xf numFmtId="0" fontId="29" fillId="16" borderId="37" xfId="0" applyFont="1" applyFill="1" applyBorder="1" applyAlignment="1">
      <alignment horizontal="center" vertical="center" wrapText="1"/>
    </xf>
    <xf numFmtId="0" fontId="29" fillId="16" borderId="38" xfId="0" applyFont="1" applyFill="1" applyBorder="1" applyAlignment="1">
      <alignment horizontal="center" vertical="center" wrapText="1"/>
    </xf>
    <xf numFmtId="0" fontId="29" fillId="17" borderId="37" xfId="0" applyFont="1" applyFill="1" applyBorder="1" applyAlignment="1">
      <alignment horizontal="center" vertical="center" wrapText="1"/>
    </xf>
    <xf numFmtId="0" fontId="29" fillId="17" borderId="38" xfId="0" applyFont="1" applyFill="1" applyBorder="1" applyAlignment="1">
      <alignment horizontal="center" vertical="center" wrapText="1"/>
    </xf>
    <xf numFmtId="2" fontId="29" fillId="16" borderId="38" xfId="0" applyNumberFormat="1" applyFont="1" applyFill="1" applyBorder="1" applyAlignment="1">
      <alignment horizontal="center" vertical="center" wrapText="1"/>
    </xf>
    <xf numFmtId="2" fontId="29" fillId="17" borderId="38" xfId="0" applyNumberFormat="1" applyFont="1" applyFill="1" applyBorder="1" applyAlignment="1">
      <alignment horizontal="center" vertical="center" wrapText="1"/>
    </xf>
    <xf numFmtId="2" fontId="0" fillId="0" borderId="0" xfId="0" applyNumberFormat="1"/>
    <xf numFmtId="0" fontId="0" fillId="2" borderId="2" xfId="0" applyFill="1" applyBorder="1"/>
    <xf numFmtId="0" fontId="0" fillId="2" borderId="33" xfId="0" applyFill="1" applyBorder="1"/>
    <xf numFmtId="2" fontId="0" fillId="0" borderId="32" xfId="0" applyNumberFormat="1" applyBorder="1"/>
    <xf numFmtId="0" fontId="0" fillId="14" borderId="3" xfId="0" applyFill="1" applyBorder="1"/>
    <xf numFmtId="2" fontId="0" fillId="0" borderId="6" xfId="0" applyNumberFormat="1" applyBorder="1"/>
    <xf numFmtId="2" fontId="0" fillId="0" borderId="7" xfId="0" applyNumberFormat="1" applyBorder="1"/>
    <xf numFmtId="0" fontId="0" fillId="5" borderId="2" xfId="0" applyFill="1" applyBorder="1"/>
    <xf numFmtId="0" fontId="0" fillId="5" borderId="3" xfId="0" applyFill="1" applyBorder="1"/>
    <xf numFmtId="0" fontId="0" fillId="5" borderId="4" xfId="0" applyFill="1" applyBorder="1"/>
    <xf numFmtId="2" fontId="20" fillId="0" borderId="32" xfId="0" applyNumberFormat="1" applyFont="1" applyBorder="1"/>
    <xf numFmtId="2" fontId="20" fillId="0" borderId="7" xfId="0" applyNumberFormat="1" applyFont="1" applyBorder="1"/>
    <xf numFmtId="11" fontId="0" fillId="0" borderId="6" xfId="0" applyNumberFormat="1" applyBorder="1"/>
    <xf numFmtId="0" fontId="13" fillId="3" borderId="0" xfId="0" applyFont="1" applyFill="1" applyAlignment="1">
      <alignment horizontal="center"/>
    </xf>
    <xf numFmtId="0" fontId="22" fillId="12" borderId="1" xfId="0" applyFont="1" applyFill="1" applyBorder="1"/>
    <xf numFmtId="11" fontId="14" fillId="4" borderId="0" xfId="0" applyNumberFormat="1" applyFont="1" applyFill="1"/>
    <xf numFmtId="0" fontId="13" fillId="3" borderId="30" xfId="0" applyFont="1" applyFill="1" applyBorder="1" applyAlignment="1"/>
    <xf numFmtId="0" fontId="13" fillId="3" borderId="0" xfId="0" applyFont="1" applyFill="1" applyAlignment="1"/>
    <xf numFmtId="0" fontId="0" fillId="18" borderId="33" xfId="0" applyFill="1" applyBorder="1"/>
    <xf numFmtId="0" fontId="0" fillId="18" borderId="0" xfId="0" applyFill="1"/>
    <xf numFmtId="0" fontId="0" fillId="18" borderId="32" xfId="0" applyFill="1" applyBorder="1"/>
    <xf numFmtId="11" fontId="14" fillId="12" borderId="0" xfId="0" applyNumberFormat="1" applyFont="1" applyFill="1"/>
    <xf numFmtId="11" fontId="14" fillId="12" borderId="32" xfId="0" applyNumberFormat="1" applyFont="1" applyFill="1" applyBorder="1"/>
    <xf numFmtId="11" fontId="0" fillId="18" borderId="0" xfId="0" applyNumberFormat="1" applyFill="1"/>
    <xf numFmtId="11" fontId="9" fillId="19" borderId="1" xfId="0" applyNumberFormat="1" applyFont="1" applyFill="1" applyBorder="1"/>
    <xf numFmtId="11" fontId="0" fillId="0" borderId="31" xfId="0" applyNumberFormat="1" applyBorder="1"/>
    <xf numFmtId="0" fontId="1" fillId="0" borderId="0" xfId="0" applyFont="1" applyFill="1" applyBorder="1"/>
    <xf numFmtId="0" fontId="30" fillId="0" borderId="3" xfId="0" applyFont="1" applyBorder="1"/>
    <xf numFmtId="0" fontId="30" fillId="0" borderId="4" xfId="0" applyFont="1" applyBorder="1"/>
    <xf numFmtId="0" fontId="27" fillId="0" borderId="19" xfId="0" applyFont="1" applyFill="1" applyBorder="1"/>
    <xf numFmtId="167" fontId="0" fillId="12" borderId="1" xfId="0" applyNumberFormat="1" applyFill="1" applyBorder="1"/>
    <xf numFmtId="0" fontId="30" fillId="0" borderId="34" xfId="0" applyFont="1" applyBorder="1"/>
    <xf numFmtId="0" fontId="30" fillId="0" borderId="30" xfId="0" applyFont="1" applyBorder="1"/>
    <xf numFmtId="0" fontId="30" fillId="0" borderId="31" xfId="0" applyFont="1" applyBorder="1"/>
    <xf numFmtId="164" fontId="0" fillId="13" borderId="1" xfId="0" applyNumberFormat="1" applyFill="1" applyBorder="1"/>
    <xf numFmtId="11" fontId="0" fillId="20" borderId="1" xfId="0" applyNumberFormat="1" applyFill="1" applyBorder="1"/>
    <xf numFmtId="11" fontId="0" fillId="18" borderId="2" xfId="0" applyNumberFormat="1" applyFill="1" applyBorder="1"/>
    <xf numFmtId="11" fontId="0" fillId="18" borderId="3" xfId="0" applyNumberFormat="1" applyFill="1" applyBorder="1"/>
    <xf numFmtId="11" fontId="0" fillId="18" borderId="4" xfId="0" applyNumberFormat="1" applyFill="1" applyBorder="1"/>
    <xf numFmtId="11" fontId="0" fillId="21" borderId="5" xfId="0" applyNumberFormat="1" applyFill="1" applyBorder="1"/>
    <xf numFmtId="11" fontId="0" fillId="21" borderId="6" xfId="0" applyNumberFormat="1" applyFill="1" applyBorder="1"/>
    <xf numFmtId="11" fontId="0" fillId="21" borderId="7" xfId="0" applyNumberFormat="1" applyFill="1" applyBorder="1"/>
    <xf numFmtId="11" fontId="20" fillId="12" borderId="34" xfId="0" applyNumberFormat="1" applyFont="1" applyFill="1" applyBorder="1"/>
    <xf numFmtId="11" fontId="20" fillId="12" borderId="30" xfId="0" applyNumberFormat="1" applyFont="1" applyFill="1" applyBorder="1"/>
    <xf numFmtId="11" fontId="20" fillId="12" borderId="31" xfId="0" applyNumberFormat="1" applyFont="1" applyFill="1" applyBorder="1"/>
    <xf numFmtId="0" fontId="0" fillId="0" borderId="0" xfId="0" applyNumberFormat="1"/>
    <xf numFmtId="0" fontId="31" fillId="2" borderId="0" xfId="0" applyFont="1" applyFill="1"/>
    <xf numFmtId="2" fontId="0" fillId="0" borderId="3" xfId="0" applyNumberFormat="1" applyBorder="1"/>
    <xf numFmtId="0" fontId="1" fillId="2" borderId="2" xfId="0" applyFont="1" applyFill="1" applyBorder="1"/>
    <xf numFmtId="0" fontId="1" fillId="2" borderId="33" xfId="0" applyFont="1" applyFill="1" applyBorder="1"/>
    <xf numFmtId="0" fontId="1" fillId="2" borderId="5" xfId="0" applyFont="1" applyFill="1" applyBorder="1"/>
    <xf numFmtId="0" fontId="1" fillId="5" borderId="3" xfId="0" applyFont="1" applyFill="1" applyBorder="1"/>
    <xf numFmtId="0" fontId="1" fillId="5" borderId="0" xfId="0" applyFont="1" applyFill="1" applyAlignment="1">
      <alignment horizontal="right"/>
    </xf>
    <xf numFmtId="0" fontId="1" fillId="5" borderId="4" xfId="0" applyFont="1" applyFill="1" applyBorder="1"/>
    <xf numFmtId="169" fontId="20" fillId="0" borderId="0" xfId="0" applyNumberFormat="1" applyFont="1" applyBorder="1"/>
    <xf numFmtId="0" fontId="20" fillId="0" borderId="0" xfId="0" applyNumberFormat="1" applyFont="1" applyBorder="1"/>
    <xf numFmtId="168" fontId="33" fillId="0" borderId="0" xfId="0" applyNumberFormat="1" applyFont="1" applyBorder="1"/>
    <xf numFmtId="169" fontId="20" fillId="0" borderId="6" xfId="0" applyNumberFormat="1" applyFont="1" applyBorder="1"/>
    <xf numFmtId="0" fontId="20" fillId="0" borderId="6" xfId="0" applyNumberFormat="1" applyFont="1" applyBorder="1"/>
    <xf numFmtId="168" fontId="33" fillId="0" borderId="6" xfId="0" applyNumberFormat="1" applyFont="1" applyBorder="1"/>
    <xf numFmtId="0" fontId="0" fillId="0" borderId="0" xfId="0" applyBorder="1"/>
    <xf numFmtId="169" fontId="0" fillId="0" borderId="0" xfId="0" applyNumberFormat="1" applyBorder="1"/>
    <xf numFmtId="11" fontId="0" fillId="0" borderId="0" xfId="0" applyNumberFormat="1" applyBorder="1"/>
    <xf numFmtId="11" fontId="33" fillId="0" borderId="0" xfId="0" applyNumberFormat="1" applyFont="1" applyBorder="1"/>
    <xf numFmtId="169" fontId="0" fillId="0" borderId="6" xfId="0" applyNumberFormat="1" applyBorder="1"/>
    <xf numFmtId="11" fontId="33" fillId="0" borderId="6" xfId="0" applyNumberFormat="1" applyFont="1" applyBorder="1"/>
    <xf numFmtId="0" fontId="29" fillId="5" borderId="39" xfId="0" applyFont="1" applyFill="1" applyBorder="1" applyAlignment="1">
      <alignment horizontal="center" vertical="center" wrapText="1"/>
    </xf>
    <xf numFmtId="0" fontId="0" fillId="2" borderId="3" xfId="0" applyFill="1" applyBorder="1"/>
    <xf numFmtId="0" fontId="0" fillId="2" borderId="4" xfId="0" applyFill="1" applyBorder="1"/>
    <xf numFmtId="0" fontId="29" fillId="5" borderId="40" xfId="0" applyFont="1" applyFill="1" applyBorder="1" applyAlignment="1">
      <alignment horizontal="center" vertical="center" wrapText="1"/>
    </xf>
    <xf numFmtId="0" fontId="0" fillId="2" borderId="0" xfId="0" applyFill="1" applyBorder="1"/>
    <xf numFmtId="0" fontId="0" fillId="2" borderId="32" xfId="0" applyFill="1" applyBorder="1"/>
    <xf numFmtId="0" fontId="0" fillId="14" borderId="0" xfId="0" applyFill="1" applyBorder="1"/>
    <xf numFmtId="0" fontId="1" fillId="5" borderId="2" xfId="0" applyFont="1" applyFill="1" applyBorder="1"/>
    <xf numFmtId="2" fontId="0" fillId="0" borderId="4" xfId="0" applyNumberFormat="1" applyBorder="1"/>
    <xf numFmtId="2" fontId="0" fillId="0" borderId="0" xfId="0" applyNumberFormat="1" applyBorder="1"/>
    <xf numFmtId="0" fontId="1" fillId="22" borderId="2" xfId="0" applyFont="1" applyFill="1" applyBorder="1"/>
    <xf numFmtId="0" fontId="0" fillId="22" borderId="0" xfId="0" applyFill="1" applyBorder="1"/>
    <xf numFmtId="0" fontId="0" fillId="22" borderId="32" xfId="0" applyFill="1" applyBorder="1"/>
    <xf numFmtId="11" fontId="0" fillId="0" borderId="32" xfId="0" applyNumberFormat="1" applyBorder="1"/>
    <xf numFmtId="0" fontId="1" fillId="22" borderId="19" xfId="0" applyFont="1" applyFill="1" applyBorder="1"/>
    <xf numFmtId="0" fontId="32" fillId="5" borderId="3" xfId="0" applyFont="1" applyFill="1" applyBorder="1"/>
    <xf numFmtId="0" fontId="34" fillId="2" borderId="33" xfId="0" applyFont="1" applyFill="1" applyBorder="1"/>
    <xf numFmtId="168" fontId="34" fillId="0" borderId="0" xfId="0" applyNumberFormat="1" applyFont="1" applyBorder="1"/>
    <xf numFmtId="0" fontId="34" fillId="0" borderId="0" xfId="0" applyFont="1" applyBorder="1"/>
    <xf numFmtId="2" fontId="34" fillId="0" borderId="32" xfId="0" applyNumberFormat="1" applyFont="1" applyBorder="1"/>
    <xf numFmtId="167" fontId="34" fillId="0" borderId="0" xfId="0" applyNumberFormat="1" applyFont="1" applyBorder="1"/>
    <xf numFmtId="0" fontId="0" fillId="0" borderId="0" xfId="0" applyFill="1"/>
    <xf numFmtId="2" fontId="0" fillId="0" borderId="6" xfId="0" applyNumberFormat="1" applyFill="1" applyBorder="1"/>
    <xf numFmtId="2" fontId="0" fillId="0" borderId="7" xfId="0" applyNumberFormat="1" applyFill="1" applyBorder="1"/>
    <xf numFmtId="0" fontId="0" fillId="0" borderId="32" xfId="0" applyFill="1" applyBorder="1"/>
    <xf numFmtId="0" fontId="0" fillId="0" borderId="0" xfId="0" applyFill="1" applyBorder="1"/>
    <xf numFmtId="0" fontId="0" fillId="0" borderId="3" xfId="0" applyFill="1" applyBorder="1"/>
    <xf numFmtId="0" fontId="0" fillId="0" borderId="4" xfId="0" applyFill="1" applyBorder="1"/>
    <xf numFmtId="0" fontId="0" fillId="0" borderId="2" xfId="0" applyFill="1" applyBorder="1"/>
    <xf numFmtId="0" fontId="0" fillId="0" borderId="33" xfId="0" applyFill="1" applyBorder="1"/>
    <xf numFmtId="2" fontId="0" fillId="0" borderId="5" xfId="0" applyNumberFormat="1" applyFill="1" applyBorder="1"/>
    <xf numFmtId="0" fontId="1" fillId="22" borderId="33" xfId="0" applyFont="1" applyFill="1" applyBorder="1"/>
    <xf numFmtId="0" fontId="0" fillId="22" borderId="3" xfId="0" applyFill="1" applyBorder="1"/>
    <xf numFmtId="0" fontId="0" fillId="22" borderId="4" xfId="0" applyFill="1" applyBorder="1"/>
    <xf numFmtId="0" fontId="1" fillId="22" borderId="12" xfId="0" applyFont="1" applyFill="1" applyBorder="1"/>
    <xf numFmtId="2" fontId="0" fillId="0" borderId="2" xfId="0" applyNumberFormat="1" applyBorder="1"/>
    <xf numFmtId="2" fontId="0" fillId="0" borderId="33" xfId="0" applyNumberFormat="1" applyBorder="1"/>
    <xf numFmtId="2" fontId="0" fillId="0" borderId="5" xfId="0" applyNumberFormat="1" applyBorder="1"/>
    <xf numFmtId="0" fontId="0" fillId="22" borderId="0" xfId="0" applyFill="1"/>
    <xf numFmtId="0" fontId="1" fillId="14" borderId="2" xfId="0" applyFont="1" applyFill="1" applyBorder="1"/>
    <xf numFmtId="0" fontId="32" fillId="14" borderId="3" xfId="0" applyFont="1" applyFill="1" applyBorder="1"/>
    <xf numFmtId="0" fontId="1" fillId="14" borderId="3" xfId="0" applyFont="1" applyFill="1" applyBorder="1"/>
    <xf numFmtId="0" fontId="1" fillId="14" borderId="4" xfId="0" applyFont="1" applyFill="1" applyBorder="1"/>
    <xf numFmtId="0" fontId="0" fillId="0" borderId="6" xfId="0" applyNumberFormat="1" applyBorder="1"/>
    <xf numFmtId="2" fontId="0" fillId="23" borderId="3" xfId="0" applyNumberFormat="1" applyFill="1" applyBorder="1"/>
    <xf numFmtId="2" fontId="0" fillId="23" borderId="4" xfId="0" applyNumberFormat="1" applyFill="1" applyBorder="1"/>
    <xf numFmtId="2" fontId="0" fillId="23" borderId="33" xfId="0" applyNumberFormat="1" applyFill="1" applyBorder="1"/>
    <xf numFmtId="2" fontId="0" fillId="23" borderId="0" xfId="0" applyNumberFormat="1" applyFill="1" applyBorder="1"/>
    <xf numFmtId="2" fontId="0" fillId="23" borderId="32" xfId="0" applyNumberFormat="1" applyFill="1" applyBorder="1"/>
    <xf numFmtId="2" fontId="29" fillId="23" borderId="38" xfId="0" applyNumberFormat="1" applyFont="1" applyFill="1" applyBorder="1" applyAlignment="1">
      <alignment horizontal="center" vertical="center" wrapText="1"/>
    </xf>
    <xf numFmtId="0" fontId="0" fillId="23" borderId="2" xfId="0" applyFill="1" applyBorder="1"/>
    <xf numFmtId="2" fontId="29" fillId="16" borderId="37" xfId="0" applyNumberFormat="1" applyFont="1" applyFill="1" applyBorder="1" applyAlignment="1">
      <alignment horizontal="center" vertical="center" wrapText="1"/>
    </xf>
    <xf numFmtId="2" fontId="0" fillId="2" borderId="3" xfId="0" applyNumberFormat="1" applyFill="1" applyBorder="1"/>
    <xf numFmtId="2" fontId="0" fillId="2" borderId="4" xfId="0" applyNumberFormat="1" applyFill="1" applyBorder="1"/>
    <xf numFmtId="0" fontId="1" fillId="2" borderId="34" xfId="0" applyFont="1" applyFill="1" applyBorder="1"/>
    <xf numFmtId="0" fontId="1" fillId="2" borderId="19" xfId="0" applyFont="1" applyFill="1" applyBorder="1"/>
    <xf numFmtId="0" fontId="1" fillId="2" borderId="24" xfId="0" applyFont="1" applyFill="1" applyBorder="1"/>
    <xf numFmtId="2" fontId="0" fillId="0" borderId="30" xfId="0" applyNumberFormat="1" applyBorder="1"/>
    <xf numFmtId="2" fontId="0" fillId="0" borderId="31" xfId="0" applyNumberFormat="1" applyBorder="1"/>
    <xf numFmtId="0" fontId="1" fillId="22" borderId="1" xfId="0" applyFont="1" applyFill="1" applyBorder="1"/>
    <xf numFmtId="11" fontId="0" fillId="0" borderId="4" xfId="0" applyNumberFormat="1" applyBorder="1"/>
    <xf numFmtId="11" fontId="0" fillId="12" borderId="6" xfId="0" applyNumberFormat="1" applyFill="1" applyBorder="1"/>
    <xf numFmtId="11" fontId="0" fillId="12" borderId="7" xfId="0" applyNumberFormat="1" applyFill="1" applyBorder="1"/>
    <xf numFmtId="2" fontId="0" fillId="12" borderId="0" xfId="0" applyNumberFormat="1" applyFill="1" applyBorder="1"/>
    <xf numFmtId="2" fontId="0" fillId="12" borderId="32" xfId="0" applyNumberFormat="1" applyFill="1" applyBorder="1"/>
    <xf numFmtId="168" fontId="0" fillId="0" borderId="0" xfId="0" applyNumberFormat="1"/>
    <xf numFmtId="11" fontId="9" fillId="0" borderId="0" xfId="0" applyNumberFormat="1" applyFont="1"/>
    <xf numFmtId="0" fontId="1" fillId="2" borderId="17" xfId="0" applyFont="1" applyFill="1" applyBorder="1" applyAlignment="1"/>
    <xf numFmtId="0" fontId="1" fillId="2" borderId="20" xfId="0" applyFont="1" applyFill="1" applyBorder="1" applyAlignment="1"/>
    <xf numFmtId="0" fontId="1" fillId="2" borderId="18" xfId="0" applyFont="1" applyFill="1" applyBorder="1" applyAlignment="1"/>
    <xf numFmtId="2" fontId="0" fillId="14" borderId="0" xfId="0" applyNumberFormat="1" applyFill="1"/>
    <xf numFmtId="2" fontId="9" fillId="0" borderId="0" xfId="0" applyNumberFormat="1" applyFont="1"/>
    <xf numFmtId="2" fontId="1" fillId="0" borderId="0" xfId="0" applyNumberFormat="1" applyFont="1"/>
    <xf numFmtId="0" fontId="1" fillId="3" borderId="0" xfId="0" applyFont="1" applyFill="1" applyBorder="1" applyAlignment="1"/>
    <xf numFmtId="0" fontId="1" fillId="0" borderId="1" xfId="0" applyFont="1" applyBorder="1" applyAlignment="1">
      <alignment horizontal="center"/>
    </xf>
    <xf numFmtId="0" fontId="0" fillId="0" borderId="1" xfId="0" applyBorder="1"/>
    <xf numFmtId="168" fontId="0" fillId="0" borderId="1" xfId="0" applyNumberFormat="1" applyBorder="1"/>
    <xf numFmtId="165" fontId="0" fillId="0" borderId="1" xfId="0" applyNumberFormat="1" applyBorder="1"/>
    <xf numFmtId="2" fontId="1" fillId="0" borderId="0" xfId="0" applyNumberFormat="1" applyFont="1" applyFill="1" applyBorder="1"/>
    <xf numFmtId="0" fontId="1" fillId="4" borderId="0" xfId="0" applyFont="1" applyFill="1" applyAlignment="1">
      <alignment horizontal="center"/>
    </xf>
    <xf numFmtId="0" fontId="1" fillId="2" borderId="17" xfId="0" applyFont="1" applyFill="1" applyBorder="1" applyAlignment="1">
      <alignment horizontal="center"/>
    </xf>
    <xf numFmtId="0" fontId="1" fillId="2" borderId="20" xfId="0" applyFont="1" applyFill="1" applyBorder="1" applyAlignment="1">
      <alignment horizontal="center"/>
    </xf>
    <xf numFmtId="0" fontId="1" fillId="2" borderId="18" xfId="0" applyFont="1" applyFill="1" applyBorder="1" applyAlignment="1">
      <alignment horizontal="center"/>
    </xf>
    <xf numFmtId="0" fontId="13" fillId="3" borderId="22" xfId="0" applyFont="1" applyFill="1" applyBorder="1" applyAlignment="1">
      <alignment horizontal="center"/>
    </xf>
    <xf numFmtId="0" fontId="0" fillId="2" borderId="0" xfId="0" applyFill="1" applyAlignment="1">
      <alignment horizontal="center"/>
    </xf>
    <xf numFmtId="0" fontId="13" fillId="3" borderId="0" xfId="0" applyFont="1" applyFill="1" applyAlignment="1">
      <alignment horizontal="center"/>
    </xf>
    <xf numFmtId="0" fontId="1" fillId="0" borderId="41" xfId="0" applyFont="1" applyBorder="1" applyAlignment="1">
      <alignment horizontal="center"/>
    </xf>
    <xf numFmtId="0" fontId="1" fillId="0" borderId="42" xfId="0" applyFont="1" applyBorder="1" applyAlignment="1">
      <alignment horizontal="center"/>
    </xf>
  </cellXfs>
  <cellStyles count="1">
    <cellStyle name="Normal" xfId="0" builtinId="0"/>
  </cellStyles>
  <dxfs count="42">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font>
    </dxf>
    <dxf>
      <numFmt numFmtId="166" formatCode="0.000E+00"/>
    </dxf>
    <dxf>
      <font>
        <b/>
      </font>
      <numFmt numFmtId="166" formatCode="0.000E+00"/>
    </dxf>
    <dxf>
      <numFmt numFmtId="166" formatCode="0.000E+00"/>
    </dxf>
    <dxf>
      <numFmt numFmtId="166" formatCode="0.000E+00"/>
    </dxf>
    <dxf>
      <numFmt numFmtId="166" formatCode="0.000E+00"/>
    </dxf>
    <dxf>
      <font>
        <b/>
      </font>
      <numFmt numFmtId="166" formatCode="0.000E+00"/>
    </dxf>
    <dxf>
      <numFmt numFmtId="166" formatCode="0.000E+00"/>
    </dxf>
    <dxf>
      <numFmt numFmtId="166" formatCode="0.000E+00"/>
    </dxf>
    <dxf>
      <numFmt numFmtId="166" formatCode="0.000E+00"/>
    </dxf>
    <dxf>
      <numFmt numFmtId="166" formatCode="0.000E+00"/>
    </dxf>
    <dxf>
      <numFmt numFmtId="166" formatCode="0.000E+00"/>
    </dxf>
    <dxf>
      <numFmt numFmtId="166" formatCode="0.000E+00"/>
    </dxf>
    <dxf>
      <font>
        <b/>
      </font>
      <numFmt numFmtId="166" formatCode="0.000E+00"/>
    </dxf>
    <dxf>
      <font>
        <b/>
      </font>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val="0"/>
      </font>
      <numFmt numFmtId="166" formatCode="0.000E+00"/>
    </dxf>
    <dxf>
      <font>
        <b/>
      </font>
    </dxf>
  </dxfs>
  <tableStyles count="0" defaultTableStyle="TableStyleMedium2" defaultPivotStyle="PivotStyleLight16"/>
  <colors>
    <mruColors>
      <color rgb="FFAED3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4" Type="http://schemas.openxmlformats.org/officeDocument/2006/relationships/image" Target="../media/image15.png"/></Relationships>
</file>

<file path=xl/drawings/_rels/drawing5.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image" Target="../media/image18.png"/><Relationship Id="rId7" Type="http://schemas.openxmlformats.org/officeDocument/2006/relationships/image" Target="../media/image21.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0.png"/><Relationship Id="rId5" Type="http://schemas.microsoft.com/office/2007/relationships/hdphoto" Target="../media/hdphoto1.wdp"/><Relationship Id="rId4"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5</xdr:col>
      <xdr:colOff>44451</xdr:colOff>
      <xdr:row>5</xdr:row>
      <xdr:rowOff>6094</xdr:rowOff>
    </xdr:from>
    <xdr:to>
      <xdr:col>6</xdr:col>
      <xdr:colOff>50800</xdr:colOff>
      <xdr:row>5</xdr:row>
      <xdr:rowOff>288643</xdr:rowOff>
    </xdr:to>
    <xdr:pic>
      <xdr:nvPicPr>
        <xdr:cNvPr id="2" name="Imagen 1">
          <a:extLst>
            <a:ext uri="{FF2B5EF4-FFF2-40B4-BE49-F238E27FC236}">
              <a16:creationId xmlns:a16="http://schemas.microsoft.com/office/drawing/2014/main" id="{80E9C5C0-EF0D-4FE2-8808-2516F68AF8C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679951" y="971294"/>
          <a:ext cx="933449" cy="282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114400</xdr:colOff>
      <xdr:row>14</xdr:row>
      <xdr:rowOff>19636</xdr:rowOff>
    </xdr:from>
    <xdr:to>
      <xdr:col>6</xdr:col>
      <xdr:colOff>317499</xdr:colOff>
      <xdr:row>14</xdr:row>
      <xdr:rowOff>292100</xdr:rowOff>
    </xdr:to>
    <xdr:pic>
      <xdr:nvPicPr>
        <xdr:cNvPr id="3" name="Imagen 2">
          <a:extLst>
            <a:ext uri="{FF2B5EF4-FFF2-40B4-BE49-F238E27FC236}">
              <a16:creationId xmlns:a16="http://schemas.microsoft.com/office/drawing/2014/main" id="{B20DE4B9-397B-44E7-BF63-802BFC81630E}"/>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49900" y="2712036"/>
          <a:ext cx="1130199" cy="2724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57149</xdr:colOff>
      <xdr:row>24</xdr:row>
      <xdr:rowOff>114300</xdr:rowOff>
    </xdr:from>
    <xdr:to>
      <xdr:col>7</xdr:col>
      <xdr:colOff>476249</xdr:colOff>
      <xdr:row>26</xdr:row>
      <xdr:rowOff>0</xdr:rowOff>
    </xdr:to>
    <xdr:pic>
      <xdr:nvPicPr>
        <xdr:cNvPr id="4" name="Imagen 3">
          <a:extLst>
            <a:ext uri="{FF2B5EF4-FFF2-40B4-BE49-F238E27FC236}">
              <a16:creationId xmlns:a16="http://schemas.microsoft.com/office/drawing/2014/main" id="{A8348F0F-C98E-468B-A6A0-23E8C7D5D922}"/>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886324" y="3771900"/>
          <a:ext cx="21240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333374</xdr:colOff>
      <xdr:row>28</xdr:row>
      <xdr:rowOff>38101</xdr:rowOff>
    </xdr:from>
    <xdr:to>
      <xdr:col>9</xdr:col>
      <xdr:colOff>257175</xdr:colOff>
      <xdr:row>29</xdr:row>
      <xdr:rowOff>161926</xdr:rowOff>
    </xdr:to>
    <xdr:pic>
      <xdr:nvPicPr>
        <xdr:cNvPr id="5" name="Imagen 4">
          <a:extLst>
            <a:ext uri="{FF2B5EF4-FFF2-40B4-BE49-F238E27FC236}">
              <a16:creationId xmlns:a16="http://schemas.microsoft.com/office/drawing/2014/main" id="{0DB8443C-09EA-4D21-97F6-1C5FA08373D5}"/>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8599" y="4429126"/>
          <a:ext cx="762001" cy="304800"/>
        </a:xfrm>
        <a:prstGeom prst="rect">
          <a:avLst/>
        </a:prstGeom>
        <a:noFill/>
        <a:ln>
          <a:solidFill>
            <a:srgbClr val="FF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333374</xdr:colOff>
      <xdr:row>26</xdr:row>
      <xdr:rowOff>38100</xdr:rowOff>
    </xdr:from>
    <xdr:to>
      <xdr:col>9</xdr:col>
      <xdr:colOff>250513</xdr:colOff>
      <xdr:row>27</xdr:row>
      <xdr:rowOff>142875</xdr:rowOff>
    </xdr:to>
    <xdr:pic>
      <xdr:nvPicPr>
        <xdr:cNvPr id="6" name="Imagen 5">
          <a:extLst>
            <a:ext uri="{FF2B5EF4-FFF2-40B4-BE49-F238E27FC236}">
              <a16:creationId xmlns:a16="http://schemas.microsoft.com/office/drawing/2014/main" id="{C3C5F32F-2323-4EA8-9BE0-26E5790F9250}"/>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8599" y="4067175"/>
          <a:ext cx="755339" cy="285750"/>
        </a:xfrm>
        <a:prstGeom prst="rect">
          <a:avLst/>
        </a:prstGeom>
        <a:noFill/>
        <a:ln>
          <a:solidFill>
            <a:srgbClr val="FF0000"/>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25193</xdr:rowOff>
    </xdr:from>
    <xdr:to>
      <xdr:col>4</xdr:col>
      <xdr:colOff>561975</xdr:colOff>
      <xdr:row>2</xdr:row>
      <xdr:rowOff>28264</xdr:rowOff>
    </xdr:to>
    <xdr:pic>
      <xdr:nvPicPr>
        <xdr:cNvPr id="2" name="Imagen 1">
          <a:extLst>
            <a:ext uri="{FF2B5EF4-FFF2-40B4-BE49-F238E27FC236}">
              <a16:creationId xmlns:a16="http://schemas.microsoft.com/office/drawing/2014/main" id="{AD1A0937-7788-4880-A1AD-4FB3BC047A53}"/>
            </a:ext>
          </a:extLst>
        </xdr:cNvPr>
        <xdr:cNvPicPr>
          <a:picLocks noChangeAspect="1"/>
        </xdr:cNvPicPr>
      </xdr:nvPicPr>
      <xdr:blipFill>
        <a:blip xmlns:r="http://schemas.openxmlformats.org/officeDocument/2006/relationships" r:embed="rId1"/>
        <a:stretch>
          <a:fillRect/>
        </a:stretch>
      </xdr:blipFill>
      <xdr:spPr>
        <a:xfrm>
          <a:off x="1733550" y="25193"/>
          <a:ext cx="2181225" cy="365021"/>
        </a:xfrm>
        <a:prstGeom prst="rect">
          <a:avLst/>
        </a:prstGeom>
      </xdr:spPr>
    </xdr:pic>
    <xdr:clientData/>
  </xdr:twoCellAnchor>
  <xdr:twoCellAnchor editAs="oneCell">
    <xdr:from>
      <xdr:col>2</xdr:col>
      <xdr:colOff>47625</xdr:colOff>
      <xdr:row>2</xdr:row>
      <xdr:rowOff>47625</xdr:rowOff>
    </xdr:from>
    <xdr:to>
      <xdr:col>4</xdr:col>
      <xdr:colOff>733755</xdr:colOff>
      <xdr:row>3</xdr:row>
      <xdr:rowOff>142914</xdr:rowOff>
    </xdr:to>
    <xdr:pic>
      <xdr:nvPicPr>
        <xdr:cNvPr id="3" name="Imagen 2">
          <a:extLst>
            <a:ext uri="{FF2B5EF4-FFF2-40B4-BE49-F238E27FC236}">
              <a16:creationId xmlns:a16="http://schemas.microsoft.com/office/drawing/2014/main" id="{593BDDB2-DB75-4F84-97D0-68B59F5A6BF6}"/>
            </a:ext>
          </a:extLst>
        </xdr:cNvPr>
        <xdr:cNvPicPr>
          <a:picLocks noChangeAspect="1"/>
        </xdr:cNvPicPr>
      </xdr:nvPicPr>
      <xdr:blipFill>
        <a:blip xmlns:r="http://schemas.openxmlformats.org/officeDocument/2006/relationships" r:embed="rId2"/>
        <a:stretch>
          <a:fillRect/>
        </a:stretch>
      </xdr:blipFill>
      <xdr:spPr>
        <a:xfrm>
          <a:off x="1724025" y="428625"/>
          <a:ext cx="2362530" cy="276264"/>
        </a:xfrm>
        <a:prstGeom prst="rect">
          <a:avLst/>
        </a:prstGeom>
      </xdr:spPr>
    </xdr:pic>
    <xdr:clientData/>
  </xdr:twoCellAnchor>
  <xdr:twoCellAnchor editAs="oneCell">
    <xdr:from>
      <xdr:col>2</xdr:col>
      <xdr:colOff>9526</xdr:colOff>
      <xdr:row>3</xdr:row>
      <xdr:rowOff>142875</xdr:rowOff>
    </xdr:from>
    <xdr:to>
      <xdr:col>5</xdr:col>
      <xdr:colOff>809626</xdr:colOff>
      <xdr:row>5</xdr:row>
      <xdr:rowOff>142200</xdr:rowOff>
    </xdr:to>
    <xdr:pic>
      <xdr:nvPicPr>
        <xdr:cNvPr id="4" name="Imagen 3">
          <a:extLst>
            <a:ext uri="{FF2B5EF4-FFF2-40B4-BE49-F238E27FC236}">
              <a16:creationId xmlns:a16="http://schemas.microsoft.com/office/drawing/2014/main" id="{C84AF481-4117-4882-87DF-C4390271E6CE}"/>
            </a:ext>
          </a:extLst>
        </xdr:cNvPr>
        <xdr:cNvPicPr>
          <a:picLocks noChangeAspect="1"/>
        </xdr:cNvPicPr>
      </xdr:nvPicPr>
      <xdr:blipFill>
        <a:blip xmlns:r="http://schemas.openxmlformats.org/officeDocument/2006/relationships" r:embed="rId3"/>
        <a:stretch>
          <a:fillRect/>
        </a:stretch>
      </xdr:blipFill>
      <xdr:spPr>
        <a:xfrm>
          <a:off x="1685926" y="704850"/>
          <a:ext cx="3314700" cy="3612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95250</xdr:colOff>
      <xdr:row>20</xdr:row>
      <xdr:rowOff>63500</xdr:rowOff>
    </xdr:from>
    <xdr:to>
      <xdr:col>2</xdr:col>
      <xdr:colOff>555138</xdr:colOff>
      <xdr:row>20</xdr:row>
      <xdr:rowOff>292100</xdr:rowOff>
    </xdr:to>
    <xdr:pic>
      <xdr:nvPicPr>
        <xdr:cNvPr id="3" name="Imagen 2">
          <a:extLst>
            <a:ext uri="{FF2B5EF4-FFF2-40B4-BE49-F238E27FC236}">
              <a16:creationId xmlns:a16="http://schemas.microsoft.com/office/drawing/2014/main" id="{10526BC0-DB89-8147-FB77-2A9A04590C44}"/>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1550" y="3873500"/>
          <a:ext cx="1336188"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19050</xdr:colOff>
      <xdr:row>2</xdr:row>
      <xdr:rowOff>57151</xdr:rowOff>
    </xdr:from>
    <xdr:to>
      <xdr:col>4</xdr:col>
      <xdr:colOff>714375</xdr:colOff>
      <xdr:row>4</xdr:row>
      <xdr:rowOff>139435</xdr:rowOff>
    </xdr:to>
    <xdr:pic>
      <xdr:nvPicPr>
        <xdr:cNvPr id="4" name="Imagen 3">
          <a:extLst>
            <a:ext uri="{FF2B5EF4-FFF2-40B4-BE49-F238E27FC236}">
              <a16:creationId xmlns:a16="http://schemas.microsoft.com/office/drawing/2014/main" id="{FC14EC33-4BEC-00F5-C534-97B76E9B3AAA}"/>
            </a:ext>
          </a:extLst>
        </xdr:cNvPr>
        <xdr:cNvPicPr>
          <a:picLocks noChangeAspect="1"/>
        </xdr:cNvPicPr>
      </xdr:nvPicPr>
      <xdr:blipFill>
        <a:blip xmlns:r="http://schemas.openxmlformats.org/officeDocument/2006/relationships" r:embed="rId2"/>
        <a:stretch>
          <a:fillRect/>
        </a:stretch>
      </xdr:blipFill>
      <xdr:spPr>
        <a:xfrm>
          <a:off x="3524250" y="438151"/>
          <a:ext cx="695325" cy="463284"/>
        </a:xfrm>
        <a:prstGeom prst="rect">
          <a:avLst/>
        </a:prstGeom>
      </xdr:spPr>
    </xdr:pic>
    <xdr:clientData/>
  </xdr:twoCellAnchor>
  <xdr:twoCellAnchor editAs="oneCell">
    <xdr:from>
      <xdr:col>4</xdr:col>
      <xdr:colOff>28575</xdr:colOff>
      <xdr:row>7</xdr:row>
      <xdr:rowOff>0</xdr:rowOff>
    </xdr:from>
    <xdr:to>
      <xdr:col>5</xdr:col>
      <xdr:colOff>803271</xdr:colOff>
      <xdr:row>9</xdr:row>
      <xdr:rowOff>9525</xdr:rowOff>
    </xdr:to>
    <xdr:pic>
      <xdr:nvPicPr>
        <xdr:cNvPr id="5" name="Imagen 4">
          <a:extLst>
            <a:ext uri="{FF2B5EF4-FFF2-40B4-BE49-F238E27FC236}">
              <a16:creationId xmlns:a16="http://schemas.microsoft.com/office/drawing/2014/main" id="{CE2CD715-F71E-21E3-64D1-4AC0954C8A25}"/>
            </a:ext>
          </a:extLst>
        </xdr:cNvPr>
        <xdr:cNvPicPr>
          <a:picLocks noChangeAspect="1"/>
        </xdr:cNvPicPr>
      </xdr:nvPicPr>
      <xdr:blipFill>
        <a:blip xmlns:r="http://schemas.openxmlformats.org/officeDocument/2006/relationships" r:embed="rId3"/>
        <a:stretch>
          <a:fillRect/>
        </a:stretch>
      </xdr:blipFill>
      <xdr:spPr>
        <a:xfrm>
          <a:off x="3533775" y="1295400"/>
          <a:ext cx="1650996" cy="371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95250</xdr:colOff>
      <xdr:row>2</xdr:row>
      <xdr:rowOff>66675</xdr:rowOff>
    </xdr:from>
    <xdr:to>
      <xdr:col>6</xdr:col>
      <xdr:colOff>590736</xdr:colOff>
      <xdr:row>3</xdr:row>
      <xdr:rowOff>161964</xdr:rowOff>
    </xdr:to>
    <xdr:pic>
      <xdr:nvPicPr>
        <xdr:cNvPr id="2" name="Imagen 1">
          <a:extLst>
            <a:ext uri="{FF2B5EF4-FFF2-40B4-BE49-F238E27FC236}">
              <a16:creationId xmlns:a16="http://schemas.microsoft.com/office/drawing/2014/main" id="{967F8C8A-E196-AB6C-CD6A-1D82DBFDC1B5}"/>
            </a:ext>
          </a:extLst>
        </xdr:cNvPr>
        <xdr:cNvPicPr>
          <a:picLocks noChangeAspect="1"/>
        </xdr:cNvPicPr>
      </xdr:nvPicPr>
      <xdr:blipFill>
        <a:blip xmlns:r="http://schemas.openxmlformats.org/officeDocument/2006/relationships" r:embed="rId1"/>
        <a:stretch>
          <a:fillRect/>
        </a:stretch>
      </xdr:blipFill>
      <xdr:spPr>
        <a:xfrm>
          <a:off x="4486275" y="438150"/>
          <a:ext cx="1333686" cy="276264"/>
        </a:xfrm>
        <a:prstGeom prst="rect">
          <a:avLst/>
        </a:prstGeom>
      </xdr:spPr>
    </xdr:pic>
    <xdr:clientData/>
  </xdr:twoCellAnchor>
  <xdr:twoCellAnchor editAs="oneCell">
    <xdr:from>
      <xdr:col>7</xdr:col>
      <xdr:colOff>228600</xdr:colOff>
      <xdr:row>12</xdr:row>
      <xdr:rowOff>9526</xdr:rowOff>
    </xdr:from>
    <xdr:to>
      <xdr:col>9</xdr:col>
      <xdr:colOff>38100</xdr:colOff>
      <xdr:row>14</xdr:row>
      <xdr:rowOff>73511</xdr:rowOff>
    </xdr:to>
    <xdr:pic>
      <xdr:nvPicPr>
        <xdr:cNvPr id="3" name="Imagen 2">
          <a:extLst>
            <a:ext uri="{FF2B5EF4-FFF2-40B4-BE49-F238E27FC236}">
              <a16:creationId xmlns:a16="http://schemas.microsoft.com/office/drawing/2014/main" id="{4764972A-42F8-BB15-E5B6-995CC070B604}"/>
            </a:ext>
          </a:extLst>
        </xdr:cNvPr>
        <xdr:cNvPicPr>
          <a:picLocks noChangeAspect="1"/>
        </xdr:cNvPicPr>
      </xdr:nvPicPr>
      <xdr:blipFill>
        <a:blip xmlns:r="http://schemas.openxmlformats.org/officeDocument/2006/relationships" r:embed="rId2"/>
        <a:stretch>
          <a:fillRect/>
        </a:stretch>
      </xdr:blipFill>
      <xdr:spPr>
        <a:xfrm>
          <a:off x="6296025" y="2238376"/>
          <a:ext cx="1485900" cy="454510"/>
        </a:xfrm>
        <a:prstGeom prst="rect">
          <a:avLst/>
        </a:prstGeom>
      </xdr:spPr>
    </xdr:pic>
    <xdr:clientData/>
  </xdr:twoCellAnchor>
  <xdr:twoCellAnchor editAs="oneCell">
    <xdr:from>
      <xdr:col>6</xdr:col>
      <xdr:colOff>57150</xdr:colOff>
      <xdr:row>7</xdr:row>
      <xdr:rowOff>200025</xdr:rowOff>
    </xdr:from>
    <xdr:to>
      <xdr:col>9</xdr:col>
      <xdr:colOff>257175</xdr:colOff>
      <xdr:row>9</xdr:row>
      <xdr:rowOff>187779</xdr:rowOff>
    </xdr:to>
    <xdr:pic>
      <xdr:nvPicPr>
        <xdr:cNvPr id="4" name="Imagen 3">
          <a:extLst>
            <a:ext uri="{FF2B5EF4-FFF2-40B4-BE49-F238E27FC236}">
              <a16:creationId xmlns:a16="http://schemas.microsoft.com/office/drawing/2014/main" id="{DC7F9B19-CD52-044E-D16B-4551FEF30EE3}"/>
            </a:ext>
          </a:extLst>
        </xdr:cNvPr>
        <xdr:cNvPicPr>
          <a:picLocks noChangeAspect="1"/>
        </xdr:cNvPicPr>
      </xdr:nvPicPr>
      <xdr:blipFill>
        <a:blip xmlns:r="http://schemas.openxmlformats.org/officeDocument/2006/relationships" r:embed="rId3"/>
        <a:stretch>
          <a:fillRect/>
        </a:stretch>
      </xdr:blipFill>
      <xdr:spPr>
        <a:xfrm>
          <a:off x="5226050" y="1533525"/>
          <a:ext cx="2676525" cy="381454"/>
        </a:xfrm>
        <a:prstGeom prst="rect">
          <a:avLst/>
        </a:prstGeom>
      </xdr:spPr>
    </xdr:pic>
    <xdr:clientData/>
  </xdr:twoCellAnchor>
  <xdr:twoCellAnchor editAs="oneCell">
    <xdr:from>
      <xdr:col>7</xdr:col>
      <xdr:colOff>66676</xdr:colOff>
      <xdr:row>19</xdr:row>
      <xdr:rowOff>145859</xdr:rowOff>
    </xdr:from>
    <xdr:to>
      <xdr:col>8</xdr:col>
      <xdr:colOff>656880</xdr:colOff>
      <xdr:row>22</xdr:row>
      <xdr:rowOff>47625</xdr:rowOff>
    </xdr:to>
    <xdr:pic>
      <xdr:nvPicPr>
        <xdr:cNvPr id="5" name="Imagen 4">
          <a:extLst>
            <a:ext uri="{FF2B5EF4-FFF2-40B4-BE49-F238E27FC236}">
              <a16:creationId xmlns:a16="http://schemas.microsoft.com/office/drawing/2014/main" id="{07A6089B-B224-6678-7805-4E865BD75988}"/>
            </a:ext>
          </a:extLst>
        </xdr:cNvPr>
        <xdr:cNvPicPr>
          <a:picLocks noChangeAspect="1"/>
        </xdr:cNvPicPr>
      </xdr:nvPicPr>
      <xdr:blipFill>
        <a:blip xmlns:r="http://schemas.openxmlformats.org/officeDocument/2006/relationships" r:embed="rId4"/>
        <a:stretch>
          <a:fillRect/>
        </a:stretch>
      </xdr:blipFill>
      <xdr:spPr>
        <a:xfrm>
          <a:off x="6134101" y="3679634"/>
          <a:ext cx="1428404" cy="47326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104639</xdr:colOff>
      <xdr:row>12</xdr:row>
      <xdr:rowOff>189749</xdr:rowOff>
    </xdr:from>
    <xdr:to>
      <xdr:col>9</xdr:col>
      <xdr:colOff>139819</xdr:colOff>
      <xdr:row>15</xdr:row>
      <xdr:rowOff>147624</xdr:rowOff>
    </xdr:to>
    <xdr:pic>
      <xdr:nvPicPr>
        <xdr:cNvPr id="2" name="Imagen 1">
          <a:extLst>
            <a:ext uri="{FF2B5EF4-FFF2-40B4-BE49-F238E27FC236}">
              <a16:creationId xmlns:a16="http://schemas.microsoft.com/office/drawing/2014/main" id="{09357E57-1720-7B07-5DEF-1EE3A918C957}"/>
            </a:ext>
          </a:extLst>
        </xdr:cNvPr>
        <xdr:cNvPicPr>
          <a:picLocks noChangeAspect="1"/>
        </xdr:cNvPicPr>
      </xdr:nvPicPr>
      <xdr:blipFill>
        <a:blip xmlns:r="http://schemas.openxmlformats.org/officeDocument/2006/relationships" r:embed="rId1"/>
        <a:stretch>
          <a:fillRect/>
        </a:stretch>
      </xdr:blipFill>
      <xdr:spPr>
        <a:xfrm>
          <a:off x="5256333" y="2524910"/>
          <a:ext cx="3355495" cy="541666"/>
        </a:xfrm>
        <a:prstGeom prst="rect">
          <a:avLst/>
        </a:prstGeom>
      </xdr:spPr>
    </xdr:pic>
    <xdr:clientData/>
  </xdr:twoCellAnchor>
  <xdr:twoCellAnchor editAs="oneCell">
    <xdr:from>
      <xdr:col>19</xdr:col>
      <xdr:colOff>204840</xdr:colOff>
      <xdr:row>40</xdr:row>
      <xdr:rowOff>82286</xdr:rowOff>
    </xdr:from>
    <xdr:to>
      <xdr:col>22</xdr:col>
      <xdr:colOff>199964</xdr:colOff>
      <xdr:row>44</xdr:row>
      <xdr:rowOff>798</xdr:rowOff>
    </xdr:to>
    <xdr:pic>
      <xdr:nvPicPr>
        <xdr:cNvPr id="3" name="Imagen 2">
          <a:extLst>
            <a:ext uri="{FF2B5EF4-FFF2-40B4-BE49-F238E27FC236}">
              <a16:creationId xmlns:a16="http://schemas.microsoft.com/office/drawing/2014/main" id="{3059474D-8895-077C-166B-D749E8A43939}"/>
            </a:ext>
          </a:extLst>
        </xdr:cNvPr>
        <xdr:cNvPicPr>
          <a:picLocks noChangeAspect="1"/>
        </xdr:cNvPicPr>
      </xdr:nvPicPr>
      <xdr:blipFill>
        <a:blip xmlns:r="http://schemas.openxmlformats.org/officeDocument/2006/relationships" r:embed="rId2"/>
        <a:stretch>
          <a:fillRect/>
        </a:stretch>
      </xdr:blipFill>
      <xdr:spPr>
        <a:xfrm>
          <a:off x="15417528" y="7756910"/>
          <a:ext cx="2453190" cy="671354"/>
        </a:xfrm>
        <a:prstGeom prst="rect">
          <a:avLst/>
        </a:prstGeom>
      </xdr:spPr>
    </xdr:pic>
    <xdr:clientData/>
  </xdr:twoCellAnchor>
  <xdr:twoCellAnchor editAs="oneCell">
    <xdr:from>
      <xdr:col>19</xdr:col>
      <xdr:colOff>206957</xdr:colOff>
      <xdr:row>32</xdr:row>
      <xdr:rowOff>20279</xdr:rowOff>
    </xdr:from>
    <xdr:to>
      <xdr:col>21</xdr:col>
      <xdr:colOff>798029</xdr:colOff>
      <xdr:row>34</xdr:row>
      <xdr:rowOff>116273</xdr:rowOff>
    </xdr:to>
    <xdr:pic>
      <xdr:nvPicPr>
        <xdr:cNvPr id="4" name="Imagen 3">
          <a:extLst>
            <a:ext uri="{FF2B5EF4-FFF2-40B4-BE49-F238E27FC236}">
              <a16:creationId xmlns:a16="http://schemas.microsoft.com/office/drawing/2014/main" id="{6DB45C23-85CB-910F-ED57-217364E05179}"/>
            </a:ext>
          </a:extLst>
        </xdr:cNvPr>
        <xdr:cNvPicPr>
          <a:picLocks noChangeAspect="1"/>
        </xdr:cNvPicPr>
      </xdr:nvPicPr>
      <xdr:blipFill>
        <a:blip xmlns:r="http://schemas.openxmlformats.org/officeDocument/2006/relationships" r:embed="rId3"/>
        <a:stretch>
          <a:fillRect/>
        </a:stretch>
      </xdr:blipFill>
      <xdr:spPr>
        <a:xfrm>
          <a:off x="15419645" y="6165440"/>
          <a:ext cx="2229782" cy="478360"/>
        </a:xfrm>
        <a:prstGeom prst="rect">
          <a:avLst/>
        </a:prstGeom>
      </xdr:spPr>
    </xdr:pic>
    <xdr:clientData/>
  </xdr:twoCellAnchor>
  <xdr:twoCellAnchor editAs="oneCell">
    <xdr:from>
      <xdr:col>4</xdr:col>
      <xdr:colOff>814224</xdr:colOff>
      <xdr:row>0</xdr:row>
      <xdr:rowOff>0</xdr:rowOff>
    </xdr:from>
    <xdr:to>
      <xdr:col>7</xdr:col>
      <xdr:colOff>993917</xdr:colOff>
      <xdr:row>2</xdr:row>
      <xdr:rowOff>51210</xdr:rowOff>
    </xdr:to>
    <xdr:pic>
      <xdr:nvPicPr>
        <xdr:cNvPr id="6" name="Picture 5">
          <a:extLst>
            <a:ext uri="{FF2B5EF4-FFF2-40B4-BE49-F238E27FC236}">
              <a16:creationId xmlns:a16="http://schemas.microsoft.com/office/drawing/2014/main" id="{827EB8F9-3E8C-CF38-6185-6DCB1C3300B3}"/>
            </a:ext>
          </a:extLst>
        </xdr:cNvPr>
        <xdr:cNvPicPr>
          <a:picLocks noChangeAspect="1"/>
        </xdr:cNvPicPr>
      </xdr:nvPicPr>
      <xdr:blipFill>
        <a:blip xmlns:r="http://schemas.openxmlformats.org/officeDocument/2006/relationships" r:embed="rId4">
          <a:clrChange>
            <a:clrFrom>
              <a:srgbClr val="595C59"/>
            </a:clrFrom>
            <a:clrTo>
              <a:srgbClr val="595C59">
                <a:alpha val="0"/>
              </a:srgbClr>
            </a:clrTo>
          </a:clrChange>
          <a:duotone>
            <a:prstClr val="black"/>
            <a:schemeClr val="accent1">
              <a:tint val="45000"/>
              <a:satMod val="400000"/>
            </a:schemeClr>
          </a:duotone>
          <a:alphaModFix/>
          <a:extLst>
            <a:ext uri="{BEBA8EAE-BF5A-486C-A8C5-ECC9F3942E4B}">
              <a14:imgProps xmlns:a14="http://schemas.microsoft.com/office/drawing/2010/main">
                <a14:imgLayer r:embed="rId5">
                  <a14:imgEffect>
                    <a14:sharpenSoften amount="50000"/>
                  </a14:imgEffect>
                  <a14:imgEffect>
                    <a14:brightnessContrast bright="40000" contrast="-40000"/>
                  </a14:imgEffect>
                </a14:imgLayer>
              </a14:imgProps>
            </a:ext>
          </a:extLst>
        </a:blip>
        <a:stretch>
          <a:fillRect/>
        </a:stretch>
      </xdr:blipFill>
      <xdr:spPr>
        <a:xfrm>
          <a:off x="4286240" y="0"/>
          <a:ext cx="3067919" cy="460887"/>
        </a:xfrm>
        <a:prstGeom prst="rect">
          <a:avLst/>
        </a:prstGeom>
      </xdr:spPr>
    </xdr:pic>
    <xdr:clientData/>
  </xdr:twoCellAnchor>
  <xdr:twoCellAnchor editAs="oneCell">
    <xdr:from>
      <xdr:col>19</xdr:col>
      <xdr:colOff>21852</xdr:colOff>
      <xdr:row>16</xdr:row>
      <xdr:rowOff>148569</xdr:rowOff>
    </xdr:from>
    <xdr:to>
      <xdr:col>22</xdr:col>
      <xdr:colOff>701189</xdr:colOff>
      <xdr:row>20</xdr:row>
      <xdr:rowOff>168090</xdr:rowOff>
    </xdr:to>
    <xdr:pic>
      <xdr:nvPicPr>
        <xdr:cNvPr id="5" name="Imagen 4">
          <a:extLst>
            <a:ext uri="{FF2B5EF4-FFF2-40B4-BE49-F238E27FC236}">
              <a16:creationId xmlns:a16="http://schemas.microsoft.com/office/drawing/2014/main" id="{93F919CB-3F80-C7B2-B4C1-963A318D81D4}"/>
            </a:ext>
          </a:extLst>
        </xdr:cNvPr>
        <xdr:cNvPicPr>
          <a:picLocks noChangeAspect="1"/>
        </xdr:cNvPicPr>
      </xdr:nvPicPr>
      <xdr:blipFill>
        <a:blip xmlns:r="http://schemas.openxmlformats.org/officeDocument/2006/relationships" r:embed="rId6"/>
        <a:stretch>
          <a:fillRect/>
        </a:stretch>
      </xdr:blipFill>
      <xdr:spPr>
        <a:xfrm>
          <a:off x="17504836" y="3262117"/>
          <a:ext cx="3198854" cy="797908"/>
        </a:xfrm>
        <a:prstGeom prst="rect">
          <a:avLst/>
        </a:prstGeom>
      </xdr:spPr>
    </xdr:pic>
    <xdr:clientData/>
  </xdr:twoCellAnchor>
  <xdr:twoCellAnchor editAs="oneCell">
    <xdr:from>
      <xdr:col>19</xdr:col>
      <xdr:colOff>14943</xdr:colOff>
      <xdr:row>22</xdr:row>
      <xdr:rowOff>0</xdr:rowOff>
    </xdr:from>
    <xdr:to>
      <xdr:col>22</xdr:col>
      <xdr:colOff>709706</xdr:colOff>
      <xdr:row>25</xdr:row>
      <xdr:rowOff>185727</xdr:rowOff>
    </xdr:to>
    <xdr:pic>
      <xdr:nvPicPr>
        <xdr:cNvPr id="7" name="Imagen 6">
          <a:extLst>
            <a:ext uri="{FF2B5EF4-FFF2-40B4-BE49-F238E27FC236}">
              <a16:creationId xmlns:a16="http://schemas.microsoft.com/office/drawing/2014/main" id="{F12258C7-7A97-6020-7377-A5CD52404171}"/>
            </a:ext>
          </a:extLst>
        </xdr:cNvPr>
        <xdr:cNvPicPr>
          <a:picLocks noChangeAspect="1"/>
        </xdr:cNvPicPr>
      </xdr:nvPicPr>
      <xdr:blipFill>
        <a:blip xmlns:r="http://schemas.openxmlformats.org/officeDocument/2006/relationships" r:embed="rId7"/>
        <a:stretch>
          <a:fillRect/>
        </a:stretch>
      </xdr:blipFill>
      <xdr:spPr>
        <a:xfrm>
          <a:off x="15045767" y="4303059"/>
          <a:ext cx="3160058" cy="768433"/>
        </a:xfrm>
        <a:prstGeom prst="rect">
          <a:avLst/>
        </a:prstGeom>
      </xdr:spPr>
    </xdr:pic>
    <xdr:clientData/>
  </xdr:twoCellAnchor>
  <xdr:twoCellAnchor editAs="oneCell">
    <xdr:from>
      <xdr:col>19</xdr:col>
      <xdr:colOff>59764</xdr:colOff>
      <xdr:row>27</xdr:row>
      <xdr:rowOff>37353</xdr:rowOff>
    </xdr:from>
    <xdr:to>
      <xdr:col>22</xdr:col>
      <xdr:colOff>788145</xdr:colOff>
      <xdr:row>30</xdr:row>
      <xdr:rowOff>186009</xdr:rowOff>
    </xdr:to>
    <xdr:pic>
      <xdr:nvPicPr>
        <xdr:cNvPr id="8" name="Imagen 7">
          <a:extLst>
            <a:ext uri="{FF2B5EF4-FFF2-40B4-BE49-F238E27FC236}">
              <a16:creationId xmlns:a16="http://schemas.microsoft.com/office/drawing/2014/main" id="{595BC03A-BB26-152D-96DA-87CCCB58A46A}"/>
            </a:ext>
          </a:extLst>
        </xdr:cNvPr>
        <xdr:cNvPicPr>
          <a:picLocks noChangeAspect="1"/>
        </xdr:cNvPicPr>
      </xdr:nvPicPr>
      <xdr:blipFill>
        <a:blip xmlns:r="http://schemas.openxmlformats.org/officeDocument/2006/relationships" r:embed="rId8"/>
        <a:stretch>
          <a:fillRect/>
        </a:stretch>
      </xdr:blipFill>
      <xdr:spPr>
        <a:xfrm>
          <a:off x="15090588" y="5311588"/>
          <a:ext cx="3193676" cy="731362"/>
        </a:xfrm>
        <a:prstGeom prst="rect">
          <a:avLst/>
        </a:prstGeom>
      </xdr:spPr>
    </xdr:pic>
    <xdr:clientData/>
  </xdr:twoCellAnchor>
  <xdr:twoCellAnchor editAs="oneCell">
    <xdr:from>
      <xdr:col>19</xdr:col>
      <xdr:colOff>14940</xdr:colOff>
      <xdr:row>27</xdr:row>
      <xdr:rowOff>22412</xdr:rowOff>
    </xdr:from>
    <xdr:to>
      <xdr:col>22</xdr:col>
      <xdr:colOff>743321</xdr:colOff>
      <xdr:row>30</xdr:row>
      <xdr:rowOff>171068</xdr:rowOff>
    </xdr:to>
    <xdr:pic>
      <xdr:nvPicPr>
        <xdr:cNvPr id="9" name="Imagen 7">
          <a:extLst>
            <a:ext uri="{FF2B5EF4-FFF2-40B4-BE49-F238E27FC236}">
              <a16:creationId xmlns:a16="http://schemas.microsoft.com/office/drawing/2014/main" id="{0059E7CF-74A0-7696-FB7F-E4D76E6EEC76}"/>
            </a:ext>
          </a:extLst>
        </xdr:cNvPr>
        <xdr:cNvPicPr>
          <a:picLocks noChangeAspect="1"/>
        </xdr:cNvPicPr>
      </xdr:nvPicPr>
      <xdr:blipFill>
        <a:blip xmlns:r="http://schemas.openxmlformats.org/officeDocument/2006/relationships" r:embed="rId8"/>
        <a:stretch>
          <a:fillRect/>
        </a:stretch>
      </xdr:blipFill>
      <xdr:spPr>
        <a:xfrm>
          <a:off x="15045764" y="5296647"/>
          <a:ext cx="3193676" cy="73136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21</xdr:col>
      <xdr:colOff>552449</xdr:colOff>
      <xdr:row>9</xdr:row>
      <xdr:rowOff>19050</xdr:rowOff>
    </xdr:from>
    <xdr:to>
      <xdr:col>28</xdr:col>
      <xdr:colOff>38099</xdr:colOff>
      <xdr:row>27</xdr:row>
      <xdr:rowOff>95250</xdr:rowOff>
    </xdr:to>
    <xdr:sp macro="" textlink="">
      <xdr:nvSpPr>
        <xdr:cNvPr id="3" name="Rectángulo 2">
          <a:extLst>
            <a:ext uri="{FF2B5EF4-FFF2-40B4-BE49-F238E27FC236}">
              <a16:creationId xmlns:a16="http://schemas.microsoft.com/office/drawing/2014/main" id="{4FDC9176-F121-4D59-413C-37ECB4FE942E}"/>
            </a:ext>
          </a:extLst>
        </xdr:cNvPr>
        <xdr:cNvSpPr/>
      </xdr:nvSpPr>
      <xdr:spPr>
        <a:xfrm>
          <a:off x="19011899" y="1752600"/>
          <a:ext cx="6200775" cy="3371850"/>
        </a:xfrm>
        <a:prstGeom prst="rect">
          <a:avLst/>
        </a:prstGeom>
        <a:ln>
          <a:solidFill>
            <a:schemeClr val="accent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s-ES" sz="1100" b="0" i="0">
              <a:solidFill>
                <a:schemeClr val="bg2">
                  <a:lumMod val="50000"/>
                </a:schemeClr>
              </a:solidFill>
              <a:effectLst/>
              <a:latin typeface="+mn-lt"/>
              <a:ea typeface="+mn-ea"/>
              <a:cs typeface="+mn-cs"/>
            </a:rPr>
            <a:t>Cómo obtener los valores con trazabilidad completa: </a:t>
          </a:r>
        </a:p>
        <a:p>
          <a:pPr algn="l"/>
          <a:r>
            <a:rPr lang="es-ES" sz="1100" b="1" i="0">
              <a:solidFill>
                <a:schemeClr val="bg2">
                  <a:lumMod val="50000"/>
                </a:schemeClr>
              </a:solidFill>
              <a:effectLst/>
              <a:latin typeface="+mn-lt"/>
              <a:ea typeface="+mn-ea"/>
              <a:cs typeface="+mn-cs"/>
            </a:rPr>
            <a:t>1.</a:t>
          </a:r>
          <a:r>
            <a:rPr lang="es-ES" sz="1100" b="1" i="0" baseline="0">
              <a:solidFill>
                <a:schemeClr val="bg2">
                  <a:lumMod val="50000"/>
                </a:schemeClr>
              </a:solidFill>
              <a:effectLst/>
              <a:latin typeface="+mn-lt"/>
              <a:ea typeface="+mn-ea"/>
              <a:cs typeface="+mn-cs"/>
            </a:rPr>
            <a:t> </a:t>
          </a:r>
          <a:r>
            <a:rPr lang="es-ES" sz="1100" b="1" i="0">
              <a:solidFill>
                <a:schemeClr val="bg2">
                  <a:lumMod val="50000"/>
                </a:schemeClr>
              </a:solidFill>
              <a:effectLst/>
              <a:latin typeface="+mn-lt"/>
              <a:ea typeface="+mn-ea"/>
              <a:cs typeface="+mn-cs"/>
            </a:rPr>
            <a:t>Acceder a Chase (1998) directamente. </a:t>
          </a:r>
        </a:p>
        <a:p>
          <a:pPr algn="l"/>
          <a:r>
            <a:rPr lang="es-ES" sz="1100" b="0" i="0">
              <a:solidFill>
                <a:schemeClr val="bg2">
                  <a:lumMod val="50000"/>
                </a:schemeClr>
              </a:solidFill>
              <a:effectLst/>
              <a:latin typeface="+mn-lt"/>
              <a:ea typeface="+mn-ea"/>
              <a:cs typeface="+mn-cs"/>
            </a:rPr>
            <a:t>Referencia: Chase, M.W., Jr. (1998). NIST-JANAF Thermochemical Tables, 4th Edition. Journal of Physical 	and Chemical Reference Data, Monograph 9. NIST, Gaithersburg, MD. </a:t>
          </a:r>
        </a:p>
        <a:p>
          <a:pPr algn="l"/>
          <a:r>
            <a:rPr lang="es-ES" sz="1100" b="0" i="0">
              <a:solidFill>
                <a:schemeClr val="bg2">
                  <a:lumMod val="50000"/>
                </a:schemeClr>
              </a:solidFill>
              <a:effectLst/>
              <a:latin typeface="+mn-lt"/>
              <a:ea typeface="+mn-ea"/>
              <a:cs typeface="+mn-cs"/>
            </a:rPr>
            <a:t>Disponible como PDF a través de: https://doi.org/10.18434/T42S31 </a:t>
          </a:r>
        </a:p>
        <a:p>
          <a:pPr algn="l"/>
          <a:r>
            <a:rPr lang="es-ES" sz="1100" b="0" i="0">
              <a:solidFill>
                <a:schemeClr val="bg2">
                  <a:lumMod val="50000"/>
                </a:schemeClr>
              </a:solidFill>
              <a:effectLst/>
              <a:latin typeface="+mn-lt"/>
              <a:ea typeface="+mn-ea"/>
              <a:cs typeface="+mn-cs"/>
            </a:rPr>
            <a:t>O en la biblioteca de la UPM (pide acceso al J. Phys. Chem. Ref. Data). </a:t>
          </a:r>
        </a:p>
        <a:p>
          <a:pPr algn="l"/>
          <a:r>
            <a:rPr lang="es-ES" sz="1100" b="0" i="0">
              <a:solidFill>
                <a:schemeClr val="bg2">
                  <a:lumMod val="50000"/>
                </a:schemeClr>
              </a:solidFill>
              <a:effectLst/>
              <a:latin typeface="+mn-lt"/>
              <a:ea typeface="+mn-ea"/>
              <a:cs typeface="+mn-cs"/>
            </a:rPr>
            <a:t>La tabla para C(cr, graphite) está en las páginas C-131 a C-132. </a:t>
          </a:r>
        </a:p>
        <a:p>
          <a:pPr algn="l"/>
          <a:endParaRPr lang="es-ES" sz="1100" b="0" i="0">
            <a:solidFill>
              <a:schemeClr val="bg2">
                <a:lumMod val="50000"/>
              </a:schemeClr>
            </a:solidFill>
            <a:effectLst/>
            <a:latin typeface="+mn-lt"/>
            <a:ea typeface="+mn-ea"/>
            <a:cs typeface="+mn-cs"/>
          </a:endParaRPr>
        </a:p>
        <a:p>
          <a:pPr algn="l"/>
          <a:r>
            <a:rPr lang="es-ES" sz="1100" b="1" i="0">
              <a:solidFill>
                <a:schemeClr val="bg2">
                  <a:lumMod val="50000"/>
                </a:schemeClr>
              </a:solidFill>
              <a:effectLst/>
              <a:latin typeface="+mn-lt"/>
              <a:ea typeface="+mn-ea"/>
              <a:cs typeface="+mn-cs"/>
            </a:rPr>
            <a:t>2.</a:t>
          </a:r>
          <a:r>
            <a:rPr lang="es-ES" sz="1100" b="1" i="0" baseline="0">
              <a:solidFill>
                <a:schemeClr val="bg2">
                  <a:lumMod val="50000"/>
                </a:schemeClr>
              </a:solidFill>
              <a:effectLst/>
              <a:latin typeface="+mn-lt"/>
              <a:ea typeface="+mn-ea"/>
              <a:cs typeface="+mn-cs"/>
            </a:rPr>
            <a:t> </a:t>
          </a:r>
          <a:r>
            <a:rPr lang="es-ES" sz="1100" b="1" i="0">
              <a:solidFill>
                <a:schemeClr val="bg2">
                  <a:lumMod val="50000"/>
                </a:schemeClr>
              </a:solidFill>
              <a:effectLst/>
              <a:latin typeface="+mn-lt"/>
              <a:ea typeface="+mn-ea"/>
              <a:cs typeface="+mn-cs"/>
            </a:rPr>
            <a:t>Usar la ATCT (Active Thermochemical Tables) del Argonne National Lab. </a:t>
          </a:r>
        </a:p>
        <a:p>
          <a:pPr algn="l"/>
          <a:r>
            <a:rPr lang="es-ES" sz="1100" b="0" i="0">
              <a:solidFill>
                <a:schemeClr val="bg2">
                  <a:lumMod val="50000"/>
                </a:schemeClr>
              </a:solidFill>
              <a:effectLst/>
              <a:latin typeface="+mn-lt"/>
              <a:ea typeface="+mn-ea"/>
              <a:cs typeface="+mn-cs"/>
            </a:rPr>
            <a:t>URL: https://atct.anl.gov/ </a:t>
          </a:r>
        </a:p>
        <a:p>
          <a:pPr algn="l"/>
          <a:r>
            <a:rPr lang="es-ES" sz="1100" b="0" i="0">
              <a:solidFill>
                <a:schemeClr val="bg2">
                  <a:lumMod val="50000"/>
                </a:schemeClr>
              </a:solidFill>
              <a:effectLst/>
              <a:latin typeface="+mn-lt"/>
              <a:ea typeface="+mn-ea"/>
              <a:cs typeface="+mn-cs"/>
            </a:rPr>
            <a:t>Buscar "C" → seleccionar graphite → descarga tabular de H°, S°, Cp. </a:t>
          </a:r>
        </a:p>
        <a:p>
          <a:pPr algn="l"/>
          <a:r>
            <a:rPr lang="es-ES" sz="1100" b="0" i="0">
              <a:solidFill>
                <a:schemeClr val="bg2">
                  <a:lumMod val="50000"/>
                </a:schemeClr>
              </a:solidFill>
              <a:effectLst/>
              <a:latin typeface="+mn-lt"/>
              <a:ea typeface="+mn-ea"/>
              <a:cs typeface="+mn-cs"/>
            </a:rPr>
            <a:t>Estas son las tablas más actualizadas (Post-2010) y citables directamente. </a:t>
          </a:r>
        </a:p>
        <a:p>
          <a:pPr algn="l"/>
          <a:endParaRPr lang="es-ES" sz="1100" b="0" i="0">
            <a:solidFill>
              <a:schemeClr val="bg2">
                <a:lumMod val="50000"/>
              </a:schemeClr>
            </a:solidFill>
            <a:effectLst/>
            <a:latin typeface="+mn-lt"/>
            <a:ea typeface="+mn-ea"/>
            <a:cs typeface="+mn-cs"/>
          </a:endParaRPr>
        </a:p>
        <a:p>
          <a:pPr algn="l"/>
          <a:r>
            <a:rPr lang="es-ES" sz="1100" b="1" i="0">
              <a:solidFill>
                <a:schemeClr val="bg2">
                  <a:lumMod val="50000"/>
                </a:schemeClr>
              </a:solidFill>
              <a:effectLst/>
              <a:latin typeface="+mn-lt"/>
              <a:ea typeface="+mn-ea"/>
              <a:cs typeface="+mn-cs"/>
            </a:rPr>
            <a:t>3. Integrar numéricamente la ecuación de Butland &amp; Maddison (1973). </a:t>
          </a:r>
        </a:p>
        <a:p>
          <a:pPr algn="l"/>
          <a:r>
            <a:rPr lang="es-ES" sz="1100" b="0" i="0">
              <a:solidFill>
                <a:schemeClr val="bg2">
                  <a:lumMod val="50000"/>
                </a:schemeClr>
              </a:solidFill>
              <a:effectLst/>
              <a:latin typeface="+mn-lt"/>
              <a:ea typeface="+mn-ea"/>
              <a:cs typeface="+mn-cs"/>
            </a:rPr>
            <a:t>Referencia: Butland, A.T.D.; Maddison, R.J. (1973). </a:t>
          </a:r>
        </a:p>
        <a:p>
          <a:pPr algn="l"/>
          <a:r>
            <a:rPr lang="es-ES" sz="1100" b="0" i="0">
              <a:solidFill>
                <a:schemeClr val="bg2">
                  <a:lumMod val="50000"/>
                </a:schemeClr>
              </a:solidFill>
              <a:effectLst/>
              <a:latin typeface="+mn-lt"/>
              <a:ea typeface="+mn-ea"/>
              <a:cs typeface="+mn-cs"/>
            </a:rPr>
            <a:t>	The specific heat of graphite: an evaluation of measurements. </a:t>
          </a:r>
        </a:p>
        <a:p>
          <a:pPr algn="l"/>
          <a:r>
            <a:rPr lang="es-ES" sz="1100" b="0" i="0">
              <a:solidFill>
                <a:schemeClr val="bg2">
                  <a:lumMod val="50000"/>
                </a:schemeClr>
              </a:solidFill>
              <a:effectLst/>
              <a:latin typeface="+mn-lt"/>
              <a:ea typeface="+mn-ea"/>
              <a:cs typeface="+mn-cs"/>
            </a:rPr>
            <a:t>	J. Nucl. Mater., 49, 45-56. DOI: 10.1016/0022-3115(73)90060-3 </a:t>
          </a:r>
        </a:p>
        <a:p>
          <a:pPr algn="l"/>
          <a:r>
            <a:rPr lang="es-ES" sz="1100" b="0" i="0">
              <a:solidFill>
                <a:schemeClr val="bg2">
                  <a:lumMod val="50000"/>
                </a:schemeClr>
              </a:solidFill>
              <a:effectLst/>
              <a:latin typeface="+mn-lt"/>
              <a:ea typeface="+mn-ea"/>
              <a:cs typeface="+mn-cs"/>
            </a:rPr>
            <a:t>La ecuación está en el NIST WebBook y la integración reproduce los valores JANAF con error &lt; 0.15 kJ/mol (como muestra la tabla anterior).</a:t>
          </a:r>
          <a:endParaRPr lang="es-ES" sz="1100">
            <a:solidFill>
              <a:schemeClr val="bg2">
                <a:lumMod val="50000"/>
              </a:schemeClr>
            </a:solidFill>
          </a:endParaRPr>
        </a:p>
      </xdr:txBody>
    </xdr:sp>
    <xdr:clientData/>
  </xdr:twoCellAnchor>
  <xdr:twoCellAnchor>
    <xdr:from>
      <xdr:col>17</xdr:col>
      <xdr:colOff>28575</xdr:colOff>
      <xdr:row>9</xdr:row>
      <xdr:rowOff>19050</xdr:rowOff>
    </xdr:from>
    <xdr:to>
      <xdr:col>21</xdr:col>
      <xdr:colOff>409575</xdr:colOff>
      <xdr:row>27</xdr:row>
      <xdr:rowOff>95250</xdr:rowOff>
    </xdr:to>
    <xdr:sp macro="" textlink="">
      <xdr:nvSpPr>
        <xdr:cNvPr id="4" name="Rectángulo 3">
          <a:extLst>
            <a:ext uri="{FF2B5EF4-FFF2-40B4-BE49-F238E27FC236}">
              <a16:creationId xmlns:a16="http://schemas.microsoft.com/office/drawing/2014/main" id="{6AABAF40-1A67-4A5C-9DCA-8F408CF706FF}"/>
            </a:ext>
          </a:extLst>
        </xdr:cNvPr>
        <xdr:cNvSpPr/>
      </xdr:nvSpPr>
      <xdr:spPr>
        <a:xfrm>
          <a:off x="15259050" y="1752600"/>
          <a:ext cx="3609975" cy="3371850"/>
        </a:xfrm>
        <a:prstGeom prst="rect">
          <a:avLst/>
        </a:prstGeom>
        <a:ln>
          <a:solidFill>
            <a:schemeClr val="accent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s-ES" sz="1100" b="1" i="0">
              <a:solidFill>
                <a:schemeClr val="bg2">
                  <a:lumMod val="50000"/>
                </a:schemeClr>
              </a:solidFill>
              <a:effectLst/>
              <a:latin typeface="+mn-lt"/>
              <a:ea typeface="+mn-ea"/>
              <a:cs typeface="+mn-cs"/>
            </a:rPr>
            <a:t>SITUACIÓN HONESTA (CLAUDE): </a:t>
          </a:r>
        </a:p>
        <a:p>
          <a:pPr algn="l"/>
          <a:endParaRPr lang="es-ES" sz="1100" b="0" i="0">
            <a:solidFill>
              <a:schemeClr val="bg2">
                <a:lumMod val="50000"/>
              </a:schemeClr>
            </a:solidFill>
            <a:effectLst/>
            <a:latin typeface="+mn-lt"/>
            <a:ea typeface="+mn-ea"/>
            <a:cs typeface="+mn-cs"/>
          </a:endParaRPr>
        </a:p>
        <a:p>
          <a:pPr algn="l"/>
          <a:r>
            <a:rPr lang="es-ES" sz="1100" b="1" i="0">
              <a:solidFill>
                <a:schemeClr val="bg2">
                  <a:lumMod val="50000"/>
                </a:schemeClr>
              </a:solidFill>
              <a:effectLst/>
              <a:latin typeface="+mn-lt"/>
              <a:ea typeface="+mn-ea"/>
              <a:cs typeface="+mn-cs"/>
            </a:rPr>
            <a:t>1. </a:t>
          </a:r>
          <a:r>
            <a:rPr lang="es-ES" sz="1100" b="0" i="0">
              <a:solidFill>
                <a:schemeClr val="bg2">
                  <a:lumMod val="50000"/>
                </a:schemeClr>
              </a:solidFill>
              <a:effectLst/>
              <a:latin typeface="+mn-lt"/>
              <a:ea typeface="+mn-ea"/>
              <a:cs typeface="+mn-cs"/>
            </a:rPr>
            <a:t>El NIST WebBook (C7782425 'Graphite') NO tiene una tabla H°−H°298 / S°(T). Solo tiene valores aislados de Cp(298K) de distintas fuentes y S°(298)=5.6±0.5. </a:t>
          </a:r>
        </a:p>
        <a:p>
          <a:pPr algn="l"/>
          <a:endParaRPr lang="es-ES" sz="1100" b="0" i="0">
            <a:solidFill>
              <a:schemeClr val="bg2">
                <a:lumMod val="50000"/>
              </a:schemeClr>
            </a:solidFill>
            <a:effectLst/>
            <a:latin typeface="+mn-lt"/>
            <a:ea typeface="+mn-ea"/>
            <a:cs typeface="+mn-cs"/>
          </a:endParaRPr>
        </a:p>
        <a:p>
          <a:pPr algn="l"/>
          <a:r>
            <a:rPr lang="es-ES" sz="1100" b="1" i="0">
              <a:solidFill>
                <a:schemeClr val="bg2">
                  <a:lumMod val="50000"/>
                </a:schemeClr>
              </a:solidFill>
              <a:effectLst/>
              <a:latin typeface="+mn-lt"/>
              <a:ea typeface="+mn-ea"/>
              <a:cs typeface="+mn-cs"/>
            </a:rPr>
            <a:t>2. </a:t>
          </a:r>
          <a:r>
            <a:rPr lang="es-ES" sz="1100" b="0" i="0">
              <a:solidFill>
                <a:schemeClr val="bg2">
                  <a:lumMod val="50000"/>
                </a:schemeClr>
              </a:solidFill>
              <a:effectLst/>
              <a:latin typeface="+mn-lt"/>
              <a:ea typeface="+mn-ea"/>
              <a:cs typeface="+mn-cs"/>
            </a:rPr>
            <a:t>Los valores que usé en el código provienen de mi conocimiento de las tablas JANAF 4ª edición (Chase 1998), almacenado en mi entrenamiento. NO los obtuve en tiempo real del NIST WebBook. </a:t>
          </a:r>
        </a:p>
        <a:p>
          <a:pPr algn="l"/>
          <a:endParaRPr lang="es-ES" sz="1100" b="0" i="0">
            <a:solidFill>
              <a:schemeClr val="bg2">
                <a:lumMod val="50000"/>
              </a:schemeClr>
            </a:solidFill>
            <a:effectLst/>
            <a:latin typeface="+mn-lt"/>
            <a:ea typeface="+mn-ea"/>
            <a:cs typeface="+mn-cs"/>
          </a:endParaRPr>
        </a:p>
        <a:p>
          <a:pPr algn="l"/>
          <a:r>
            <a:rPr lang="es-ES" sz="1100" b="1" i="0">
              <a:solidFill>
                <a:schemeClr val="bg2">
                  <a:lumMod val="50000"/>
                </a:schemeClr>
              </a:solidFill>
              <a:effectLst/>
              <a:latin typeface="+mn-lt"/>
              <a:ea typeface="+mn-ea"/>
              <a:cs typeface="+mn-cs"/>
            </a:rPr>
            <a:t>3. </a:t>
          </a:r>
          <a:r>
            <a:rPr lang="es-ES" sz="1100" b="0" i="0">
              <a:solidFill>
                <a:schemeClr val="bg2">
                  <a:lumMod val="50000"/>
                </a:schemeClr>
              </a:solidFill>
              <a:effectLst/>
              <a:latin typeface="+mn-lt"/>
              <a:ea typeface="+mn-ea"/>
              <a:cs typeface="+mn-cs"/>
            </a:rPr>
            <a:t>La verificación con la ecuación de Butland &amp; Maddison (1973) —que el propio NIST cita como "best data" para grafito— confirma que mis valores son correctos con un error máximo de 0.1 kJ/mol en H° y 0.15 J/mol·K en S°. Esto es consistente con la precisión esperada de las tablas JANAF.</a:t>
          </a:r>
          <a:endParaRPr lang="es-ES" sz="1100">
            <a:solidFill>
              <a:schemeClr val="bg2">
                <a:lumMod val="50000"/>
              </a:schemeClr>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800100</xdr:colOff>
      <xdr:row>1</xdr:row>
      <xdr:rowOff>12699</xdr:rowOff>
    </xdr:from>
    <xdr:to>
      <xdr:col>7</xdr:col>
      <xdr:colOff>50800</xdr:colOff>
      <xdr:row>72</xdr:row>
      <xdr:rowOff>19049</xdr:rowOff>
    </xdr:to>
    <xdr:sp macro="" textlink="">
      <xdr:nvSpPr>
        <xdr:cNvPr id="2" name="Rectangle 1">
          <a:extLst>
            <a:ext uri="{FF2B5EF4-FFF2-40B4-BE49-F238E27FC236}">
              <a16:creationId xmlns:a16="http://schemas.microsoft.com/office/drawing/2014/main" id="{CC75E873-50E1-DAC5-74E0-CBA58ECCCF0E}"/>
            </a:ext>
          </a:extLst>
        </xdr:cNvPr>
        <xdr:cNvSpPr/>
      </xdr:nvSpPr>
      <xdr:spPr>
        <a:xfrm>
          <a:off x="800100" y="193674"/>
          <a:ext cx="5118100" cy="1285557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100"/>
            <a:t># DRM Kinetic Model for DWSIM</a:t>
          </a:r>
        </a:p>
        <a:p>
          <a:pPr algn="l"/>
          <a:r>
            <a:rPr lang="en-GB" sz="1100"/>
            <a:t># Velocity Units: mol/[kg.s]</a:t>
          </a:r>
        </a:p>
        <a:p>
          <a:pPr algn="l"/>
          <a:r>
            <a:rPr lang="en-GB" sz="1100"/>
            <a:t># Amount Units: kmol</a:t>
          </a:r>
        </a:p>
        <a:p>
          <a:pPr algn="l"/>
          <a:r>
            <a:rPr lang="en-GB" sz="1100"/>
            <a:t># Pressure: Pa</a:t>
          </a:r>
        </a:p>
        <a:p>
          <a:pPr algn="l"/>
          <a:endParaRPr lang="en-GB" sz="1100"/>
        </a:p>
        <a:p>
          <a:pPr algn="l"/>
          <a:r>
            <a:rPr lang="en-GB" sz="1100"/>
            <a:t>import math</a:t>
          </a:r>
        </a:p>
        <a:p>
          <a:pPr algn="l"/>
          <a:endParaRPr lang="en-GB" sz="1100"/>
        </a:p>
        <a:p>
          <a:pPr algn="l"/>
          <a:r>
            <a:rPr lang="en-GB" sz="1100"/>
            <a:t>R = 8.314  # J/mol·K</a:t>
          </a:r>
        </a:p>
        <a:p>
          <a:pPr algn="l"/>
          <a:endParaRPr lang="en-GB" sz="1100"/>
        </a:p>
        <a:p>
          <a:pPr algn="l"/>
          <a:r>
            <a:rPr lang="en-GB" sz="1100"/>
            <a:t>A_DRM = 1.29e6       # mol/(kg_cat·s)</a:t>
          </a:r>
        </a:p>
        <a:p>
          <a:pPr algn="l"/>
          <a:r>
            <a:rPr lang="en-GB" sz="1100"/>
            <a:t>Ea_DRM = 110265.0    # J/mol</a:t>
          </a:r>
        </a:p>
        <a:p>
          <a:pPr algn="l"/>
          <a:endParaRPr lang="en-GB" sz="1100"/>
        </a:p>
        <a:p>
          <a:pPr algn="l"/>
          <a:r>
            <a:rPr lang="en-GB" sz="1100"/>
            <a:t># Constantes de adsorción en 1/Pa (convertidas de 1/bar)</a:t>
          </a:r>
        </a:p>
        <a:p>
          <a:pPr algn="l"/>
          <a:r>
            <a:rPr lang="en-GB" sz="1100"/>
            <a:t>def K_CH4(T): return 2.60e-2 * math.exp(+24410.0/(R*T)) / 1e5</a:t>
          </a:r>
        </a:p>
        <a:p>
          <a:pPr algn="l"/>
          <a:r>
            <a:rPr lang="en-GB" sz="1100"/>
            <a:t>def K_CO2(T): return 2.61e-2 * math.exp(+22585.0/(R*T)) / 1e5</a:t>
          </a:r>
        </a:p>
        <a:p>
          <a:pPr algn="l"/>
          <a:r>
            <a:rPr lang="en-GB" sz="1100"/>
            <a:t>def K_H2(T):  return 1.00e-5 * math.exp(+30000.0/(R*T)) / 1e5</a:t>
          </a:r>
        </a:p>
        <a:p>
          <a:pPr algn="l"/>
          <a:r>
            <a:rPr lang="en-GB" sz="1100"/>
            <a:t>def K_CO(T):  return 1.00e-5 * math.exp(+8220.0/(R*T)) / 1e5</a:t>
          </a:r>
        </a:p>
        <a:p>
          <a:pPr algn="l"/>
          <a:r>
            <a:rPr lang="en-GB" sz="1100"/>
            <a:t>def K_H2O(T): return 4.73e-6 * math.exp(+58662.0/(R*T)) / 1e5</a:t>
          </a:r>
        </a:p>
        <a:p>
          <a:pPr algn="l"/>
          <a:endParaRPr lang="en-GB" sz="1100"/>
        </a:p>
        <a:p>
          <a:pPr algn="l"/>
          <a:r>
            <a:rPr lang="en-GB" sz="1100"/>
            <a:t>def K_eq_DRM(T):</a:t>
          </a:r>
        </a:p>
        <a:p>
          <a:pPr algn="l"/>
          <a:r>
            <a:rPr lang="en-GB" sz="1100"/>
            <a:t>    K_bar2 = 6.78e14 * math.exp(-259660.0/(R*T)) # en bar²</a:t>
          </a:r>
        </a:p>
        <a:p>
          <a:pPr algn="l"/>
          <a:r>
            <a:rPr lang="en-GB" sz="1100"/>
            <a:t>    return K_bar2 * 1e10 # conversión a Pa²</a:t>
          </a:r>
        </a:p>
        <a:p>
          <a:pPr algn="l"/>
          <a:endParaRPr lang="en-GB" sz="1100"/>
        </a:p>
        <a:p>
          <a:pPr algn="l"/>
          <a:r>
            <a:rPr lang="en-GB" sz="1100"/>
            <a:t>T_val = T</a:t>
          </a:r>
        </a:p>
        <a:p>
          <a:pPr algn="l"/>
          <a:r>
            <a:rPr lang="en-GB" sz="1100"/>
            <a:t>P_val = P</a:t>
          </a:r>
        </a:p>
        <a:p>
          <a:pPr algn="l"/>
          <a:endParaRPr lang="en-GB" sz="1100"/>
        </a:p>
        <a:p>
          <a:pPr algn="l"/>
          <a:r>
            <a:rPr lang="en-GB" sz="1100"/>
            <a:t># Reactivos y productos de la reacción DRM (CH4 + CO2 -&gt; 2CO + 2H2) más el Agua (kmol/s)</a:t>
          </a:r>
        </a:p>
        <a:p>
          <a:pPr algn="l"/>
          <a:r>
            <a:rPr lang="en-GB" sz="1100"/>
            <a:t>n_CH4 = R1</a:t>
          </a:r>
        </a:p>
        <a:p>
          <a:pPr algn="l"/>
          <a:r>
            <a:rPr lang="en-GB" sz="1100"/>
            <a:t>n_CO2 = R2</a:t>
          </a:r>
        </a:p>
        <a:p>
          <a:pPr algn="l"/>
          <a:r>
            <a:rPr lang="en-GB" sz="1100"/>
            <a:t>n_CO  = P1</a:t>
          </a:r>
        </a:p>
        <a:p>
          <a:pPr algn="l"/>
          <a:r>
            <a:rPr lang="en-GB" sz="1100"/>
            <a:t>n_H2  = P2 </a:t>
          </a:r>
        </a:p>
        <a:p>
          <a:pPr algn="l"/>
          <a:r>
            <a:rPr lang="en-GB" sz="1100"/>
            <a:t>n_H2O = Amounts["Water"] </a:t>
          </a:r>
        </a:p>
        <a:p>
          <a:pPr algn="l"/>
          <a:endParaRPr lang="en-GB" sz="1100"/>
        </a:p>
        <a:p>
          <a:pPr algn="l"/>
          <a:r>
            <a:rPr lang="en-GB" sz="1100"/>
            <a:t>n_total = n_CH4 + n_CO2 + n_CO + n_H2 + n_H2O</a:t>
          </a:r>
        </a:p>
        <a:p>
          <a:pPr algn="l"/>
          <a:r>
            <a:rPr lang="en-GB" sz="1100"/>
            <a:t>if n_total &lt; 1e-12:</a:t>
          </a:r>
        </a:p>
        <a:p>
          <a:pPr algn="l"/>
          <a:r>
            <a:rPr lang="en-GB" sz="1100"/>
            <a:t>    r = 0.0</a:t>
          </a:r>
        </a:p>
        <a:p>
          <a:pPr algn="l"/>
          <a:endParaRPr lang="en-GB" sz="1100"/>
        </a:p>
        <a:p>
          <a:pPr algn="l"/>
          <a:r>
            <a:rPr lang="en-GB" sz="1100"/>
            <a:t>else:</a:t>
          </a:r>
        </a:p>
        <a:p>
          <a:pPr algn="l"/>
          <a:r>
            <a:rPr lang="en-GB" sz="1100"/>
            <a:t>    y_CH4 = n_CH4 / n_total</a:t>
          </a:r>
        </a:p>
        <a:p>
          <a:pPr algn="l"/>
          <a:r>
            <a:rPr lang="en-GB" sz="1100"/>
            <a:t>    y_CO2 = n_CO2 / n_total</a:t>
          </a:r>
        </a:p>
        <a:p>
          <a:pPr algn="l"/>
          <a:r>
            <a:rPr lang="en-GB" sz="1100"/>
            <a:t>    y_CO  = n_CO  / n_total</a:t>
          </a:r>
        </a:p>
        <a:p>
          <a:pPr algn="l"/>
          <a:r>
            <a:rPr lang="en-GB" sz="1100"/>
            <a:t>    y_H2  = n_H2  / n_total</a:t>
          </a:r>
        </a:p>
        <a:p>
          <a:pPr algn="l"/>
          <a:r>
            <a:rPr lang="en-GB" sz="1100"/>
            <a:t>    y_H2O = n_H2O / n_total</a:t>
          </a:r>
        </a:p>
        <a:p>
          <a:pPr algn="l"/>
          <a:endParaRPr lang="en-GB" sz="1100"/>
        </a:p>
        <a:p>
          <a:pPr algn="l"/>
          <a:r>
            <a:rPr lang="en-GB" sz="1100"/>
            <a:t>    p_CH4 = max(y_CH4 * P_val, 1e-3)</a:t>
          </a:r>
        </a:p>
        <a:p>
          <a:pPr algn="l"/>
          <a:r>
            <a:rPr lang="en-GB" sz="1100"/>
            <a:t>    p_CO2 = max(y_CO2 * P_val, 1e-3)</a:t>
          </a:r>
        </a:p>
        <a:p>
          <a:pPr algn="l"/>
          <a:r>
            <a:rPr lang="en-GB" sz="1100"/>
            <a:t>    p_CO  = max(y_CO  * P_val, 1e-3)</a:t>
          </a:r>
        </a:p>
        <a:p>
          <a:pPr algn="l"/>
          <a:r>
            <a:rPr lang="en-GB" sz="1100"/>
            <a:t>    p_H2  = max(y_H2  * P_val, 1e-3)</a:t>
          </a:r>
        </a:p>
        <a:p>
          <a:pPr algn="l"/>
          <a:r>
            <a:rPr lang="en-GB" sz="1100"/>
            <a:t>    p_H2O = max(y_H2O * P_val, 1e-3)</a:t>
          </a:r>
        </a:p>
        <a:p>
          <a:pPr algn="l"/>
          <a:endParaRPr lang="en-GB" sz="1100"/>
        </a:p>
        <a:p>
          <a:pPr algn="l"/>
          <a:r>
            <a:rPr lang="en-GB" sz="1100"/>
            <a:t>    k_DRM = A_DRM * math.exp(-Ea_DRM / (R * T_val))</a:t>
          </a:r>
        </a:p>
        <a:p>
          <a:pPr algn="l"/>
          <a:endParaRPr lang="en-GB" sz="1100"/>
        </a:p>
        <a:p>
          <a:pPr algn="l"/>
          <a:r>
            <a:rPr lang="en-GB" sz="1100"/>
            <a:t>    K1 = K_CH4(T_val)</a:t>
          </a:r>
        </a:p>
        <a:p>
          <a:pPr algn="l"/>
          <a:r>
            <a:rPr lang="en-GB" sz="1100"/>
            <a:t>    K2 = K_CO2(T_val)</a:t>
          </a:r>
        </a:p>
        <a:p>
          <a:pPr algn="l"/>
          <a:r>
            <a:rPr lang="en-GB" sz="1100"/>
            <a:t>    K3 = K_H2(T_val)</a:t>
          </a:r>
        </a:p>
        <a:p>
          <a:pPr algn="l"/>
          <a:r>
            <a:rPr lang="en-GB" sz="1100"/>
            <a:t>    K21 = K_CO(T_val)</a:t>
          </a:r>
        </a:p>
        <a:p>
          <a:pPr algn="l"/>
          <a:r>
            <a:rPr lang="en-GB" sz="1100"/>
            <a:t>    K23 = K_H2O(T_val)</a:t>
          </a:r>
        </a:p>
        <a:p>
          <a:pPr algn="l"/>
          <a:endParaRPr lang="en-GB" sz="1100"/>
        </a:p>
        <a:p>
          <a:pPr algn="l"/>
          <a:r>
            <a:rPr lang="en-GB" sz="1100"/>
            <a:t>    Omega = 1.0 + K1*p_CH4 + K2*p_CO2 + K21*p_CO + math.sqrt(K3*p_H2) + K23*p_H2O</a:t>
          </a:r>
        </a:p>
        <a:p>
          <a:pPr algn="l"/>
          <a:r>
            <a:rPr lang="en-GB" sz="1100"/>
            <a:t>    denom = Omega ** 2</a:t>
          </a:r>
        </a:p>
        <a:p>
          <a:pPr algn="l"/>
          <a:endParaRPr lang="en-GB" sz="1100"/>
        </a:p>
        <a:p>
          <a:pPr algn="l"/>
          <a:r>
            <a:rPr lang="en-GB" sz="1100"/>
            <a:t>    Keq = K_eq_DRM(T_val)</a:t>
          </a:r>
        </a:p>
        <a:p>
          <a:pPr algn="l"/>
          <a:r>
            <a:rPr lang="en-GB" sz="1100"/>
            <a:t>    Q = (p_CO**2 * p_H2**2) / (p_CO2 * p_CH4)</a:t>
          </a:r>
        </a:p>
        <a:p>
          <a:pPr algn="l"/>
          <a:r>
            <a:rPr lang="en-GB" sz="1100"/>
            <a:t>    DF = (1.0 - Q / Keq)</a:t>
          </a:r>
        </a:p>
        <a:p>
          <a:pPr algn="l"/>
          <a:endParaRPr lang="en-GB" sz="1100"/>
        </a:p>
        <a:p>
          <a:pPr algn="l"/>
          <a:r>
            <a:rPr lang="en-GB" sz="1100"/>
            <a:t>    r_DRM = k_DRM * K1 * p_CH4 * DF / denom # mol/(kg_cat·s)</a:t>
          </a:r>
        </a:p>
        <a:p>
          <a:pPr algn="l"/>
          <a:endParaRPr lang="en-GB" sz="1100"/>
        </a:p>
        <a:p>
          <a:pPr algn="l"/>
          <a:r>
            <a:rPr lang="en-GB" sz="1100"/>
            <a:t>    eta_GL = 1.0</a:t>
          </a:r>
        </a:p>
        <a:p>
          <a:pPr algn="l"/>
          <a:r>
            <a:rPr lang="en-GB" sz="1100"/>
            <a:t>    r = r_DRM * eta_GL</a:t>
          </a:r>
        </a:p>
        <a:p>
          <a:pPr algn="l"/>
          <a:endParaRPr lang="en-GB" sz="1100"/>
        </a:p>
        <a:p>
          <a:pPr algn="l"/>
          <a:r>
            <a:rPr lang="en-GB" sz="1100"/>
            <a:t># Output</a:t>
          </a:r>
        </a:p>
        <a:p>
          <a:pPr algn="l"/>
          <a:r>
            <a:rPr lang="en-GB" sz="1100"/>
            <a:t>r</a:t>
          </a:r>
        </a:p>
      </xdr:txBody>
    </xdr:sp>
    <xdr:clientData/>
  </xdr:twoCellAnchor>
  <xdr:twoCellAnchor>
    <xdr:from>
      <xdr:col>7</xdr:col>
      <xdr:colOff>457200</xdr:colOff>
      <xdr:row>1</xdr:row>
      <xdr:rowOff>12699</xdr:rowOff>
    </xdr:from>
    <xdr:to>
      <xdr:col>13</xdr:col>
      <xdr:colOff>533400</xdr:colOff>
      <xdr:row>72</xdr:row>
      <xdr:rowOff>19050</xdr:rowOff>
    </xdr:to>
    <xdr:sp macro="" textlink="">
      <xdr:nvSpPr>
        <xdr:cNvPr id="3" name="Rectangle 2">
          <a:extLst>
            <a:ext uri="{FF2B5EF4-FFF2-40B4-BE49-F238E27FC236}">
              <a16:creationId xmlns:a16="http://schemas.microsoft.com/office/drawing/2014/main" id="{122063EB-BE29-9341-B8E0-C77773FD302B}"/>
            </a:ext>
          </a:extLst>
        </xdr:cNvPr>
        <xdr:cNvSpPr/>
      </xdr:nvSpPr>
      <xdr:spPr>
        <a:xfrm>
          <a:off x="6324600" y="193674"/>
          <a:ext cx="5105400" cy="12855576"/>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100"/>
            <a:t># RWGS Kinetic Model for DWSIM</a:t>
          </a:r>
        </a:p>
        <a:p>
          <a:pPr algn="l"/>
          <a:r>
            <a:rPr lang="en-GB" sz="1100"/>
            <a:t># Velocity Units: mol/[kg.s]</a:t>
          </a:r>
        </a:p>
        <a:p>
          <a:pPr algn="l"/>
          <a:r>
            <a:rPr lang="en-GB" sz="1100"/>
            <a:t># Amount Units: kmol</a:t>
          </a:r>
        </a:p>
        <a:p>
          <a:pPr algn="l"/>
          <a:r>
            <a:rPr lang="en-GB" sz="1100"/>
            <a:t># Pressure: Pa</a:t>
          </a:r>
        </a:p>
        <a:p>
          <a:pPr algn="l"/>
          <a:endParaRPr lang="en-GB" sz="1100"/>
        </a:p>
        <a:p>
          <a:pPr algn="l"/>
          <a:r>
            <a:rPr lang="en-GB" sz="1100"/>
            <a:t>import math</a:t>
          </a:r>
        </a:p>
        <a:p>
          <a:pPr algn="l"/>
          <a:endParaRPr lang="en-GB" sz="1100"/>
        </a:p>
        <a:p>
          <a:pPr algn="l"/>
          <a:r>
            <a:rPr lang="en-GB" sz="1100"/>
            <a:t>R = 8.314  # J/mol·K</a:t>
          </a:r>
        </a:p>
        <a:p>
          <a:pPr algn="l"/>
          <a:endParaRPr lang="en-GB" sz="1100"/>
        </a:p>
        <a:p>
          <a:pPr algn="l"/>
          <a:r>
            <a:rPr lang="en-GB" sz="1100"/>
            <a:t>A_RWGS = 0.35e6     # mol/(kg_cat·s)</a:t>
          </a:r>
        </a:p>
        <a:p>
          <a:pPr algn="l"/>
          <a:r>
            <a:rPr lang="en-GB" sz="1100"/>
            <a:t>Ea_RWGS = 88530.0   # J/mol</a:t>
          </a:r>
        </a:p>
        <a:p>
          <a:pPr algn="l"/>
          <a:endParaRPr lang="en-GB" sz="1100"/>
        </a:p>
        <a:p>
          <a:pPr algn="l"/>
          <a:r>
            <a:rPr lang="en-GB" sz="1100"/>
            <a:t># Constantes de adsorción en 1/Pa (convertidas de 1/bar)</a:t>
          </a:r>
        </a:p>
        <a:p>
          <a:pPr algn="l"/>
          <a:r>
            <a:rPr lang="en-GB" sz="1100"/>
            <a:t>def K_CH4(T): return 2.60e-2 * math.exp(+24410.0/(R*T)) / 1e5</a:t>
          </a:r>
        </a:p>
        <a:p>
          <a:pPr algn="l"/>
          <a:r>
            <a:rPr lang="en-GB" sz="1100"/>
            <a:t>def K_CO2(T): return 2.61e-2 * math.exp(+22585.0/(R*T)) / 1e5</a:t>
          </a:r>
        </a:p>
        <a:p>
          <a:pPr algn="l"/>
          <a:r>
            <a:rPr lang="en-GB" sz="1100"/>
            <a:t>def K_H2(T):  return 1.00e-5 * math.exp(+30000.0/(R*T)) / 1e5</a:t>
          </a:r>
        </a:p>
        <a:p>
          <a:pPr algn="l"/>
          <a:r>
            <a:rPr lang="en-GB" sz="1100"/>
            <a:t>def K_CO(T):  return 1.00e-5 * math.exp(+8220.0/(R*T)) / 1e5</a:t>
          </a:r>
        </a:p>
        <a:p>
          <a:pPr algn="l"/>
          <a:r>
            <a:rPr lang="en-GB" sz="1100"/>
            <a:t>def K_H2O(T): return 4.73e-6 * math.exp(+58662.0/(R*T)) / 1e5</a:t>
          </a:r>
        </a:p>
        <a:p>
          <a:pPr algn="l"/>
          <a:endParaRPr lang="en-GB" sz="1100"/>
        </a:p>
        <a:p>
          <a:pPr algn="l"/>
          <a:r>
            <a:rPr lang="en-GB" sz="1100"/>
            <a:t>def K_eq_RWGS(T): return 56.4971 * math.exp(-36580.0/(R*T))</a:t>
          </a:r>
        </a:p>
        <a:p>
          <a:pPr algn="l"/>
          <a:endParaRPr lang="en-GB" sz="1100"/>
        </a:p>
        <a:p>
          <a:pPr algn="l"/>
          <a:r>
            <a:rPr lang="en-GB" sz="1100"/>
            <a:t>T_val = T</a:t>
          </a:r>
        </a:p>
        <a:p>
          <a:pPr algn="l"/>
          <a:r>
            <a:rPr lang="en-GB" sz="1100"/>
            <a:t>P_val = P</a:t>
          </a:r>
        </a:p>
        <a:p>
          <a:pPr algn="l"/>
          <a:endParaRPr lang="en-GB" sz="1100"/>
        </a:p>
        <a:p>
          <a:pPr algn="l"/>
          <a:r>
            <a:rPr lang="en-GB" sz="1100"/>
            <a:t># Reactivos y productos de la reacción RWGS (CO2 + H2 -&gt; CO + H2O)</a:t>
          </a:r>
        </a:p>
        <a:p>
          <a:pPr algn="l"/>
          <a:r>
            <a:rPr lang="en-GB" sz="1100"/>
            <a:t>n_CO2 = R1</a:t>
          </a:r>
        </a:p>
        <a:p>
          <a:pPr algn="l"/>
          <a:r>
            <a:rPr lang="en-GB" sz="1100"/>
            <a:t>n_H2  = R2</a:t>
          </a:r>
        </a:p>
        <a:p>
          <a:pPr algn="l"/>
          <a:r>
            <a:rPr lang="en-GB" sz="1100"/>
            <a:t>n_CO  = P1</a:t>
          </a:r>
        </a:p>
        <a:p>
          <a:pPr algn="l"/>
          <a:r>
            <a:rPr lang="en-GB" sz="1100"/>
            <a:t>n_H2O = P2</a:t>
          </a:r>
        </a:p>
        <a:p>
          <a:pPr algn="l"/>
          <a:r>
            <a:rPr lang="en-GB" sz="1100"/>
            <a:t>n_CH4 = Amounts["Methane"]</a:t>
          </a:r>
        </a:p>
        <a:p>
          <a:pPr algn="l"/>
          <a:endParaRPr lang="en-GB" sz="1100"/>
        </a:p>
        <a:p>
          <a:pPr algn="l"/>
          <a:r>
            <a:rPr lang="en-GB" sz="1100"/>
            <a:t>n_total = n_CO2 + n_H2 + n_CO + n_H2O + n_CH4</a:t>
          </a:r>
        </a:p>
        <a:p>
          <a:pPr algn="l"/>
          <a:r>
            <a:rPr lang="en-GB" sz="1100"/>
            <a:t>if n_total &lt; 1e-12:</a:t>
          </a:r>
        </a:p>
        <a:p>
          <a:pPr algn="l"/>
          <a:r>
            <a:rPr lang="en-GB" sz="1100"/>
            <a:t>    r = 0.0</a:t>
          </a:r>
        </a:p>
        <a:p>
          <a:pPr algn="l"/>
          <a:r>
            <a:rPr lang="en-GB" sz="1100"/>
            <a:t>else:</a:t>
          </a:r>
        </a:p>
        <a:p>
          <a:pPr algn="l"/>
          <a:r>
            <a:rPr lang="en-GB" sz="1100"/>
            <a:t>    y_CH4 = n_CH4 / n_total</a:t>
          </a:r>
        </a:p>
        <a:p>
          <a:pPr algn="l"/>
          <a:r>
            <a:rPr lang="en-GB" sz="1100"/>
            <a:t>    y_CO2 = n_CO2 / n_total</a:t>
          </a:r>
        </a:p>
        <a:p>
          <a:pPr algn="l"/>
          <a:r>
            <a:rPr lang="en-GB" sz="1100"/>
            <a:t>    y_CO  = n_CO  / n_total</a:t>
          </a:r>
        </a:p>
        <a:p>
          <a:pPr algn="l"/>
          <a:r>
            <a:rPr lang="en-GB" sz="1100"/>
            <a:t>    y_H2  = n_H2  / n_total</a:t>
          </a:r>
        </a:p>
        <a:p>
          <a:pPr algn="l"/>
          <a:r>
            <a:rPr lang="en-GB" sz="1100"/>
            <a:t>    y_H2O = n_H2O / n_total</a:t>
          </a:r>
        </a:p>
        <a:p>
          <a:pPr algn="l"/>
          <a:endParaRPr lang="en-GB" sz="1100"/>
        </a:p>
        <a:p>
          <a:pPr algn="l"/>
          <a:r>
            <a:rPr lang="en-GB" sz="1100"/>
            <a:t>    p_CH4 = max(y_CH4 * P_val, 1e-3)</a:t>
          </a:r>
        </a:p>
        <a:p>
          <a:pPr algn="l"/>
          <a:r>
            <a:rPr lang="en-GB" sz="1100"/>
            <a:t>    p_CO2 = max(y_CO2 * P_val, 1e-3)</a:t>
          </a:r>
        </a:p>
        <a:p>
          <a:pPr algn="l"/>
          <a:r>
            <a:rPr lang="en-GB" sz="1100"/>
            <a:t>    p_CO  = max(y_CO  * P_val, 1e-3)</a:t>
          </a:r>
        </a:p>
        <a:p>
          <a:pPr algn="l"/>
          <a:r>
            <a:rPr lang="en-GB" sz="1100"/>
            <a:t>    p_H2  = max(y_H2  * P_val, 1e-3)</a:t>
          </a:r>
        </a:p>
        <a:p>
          <a:pPr algn="l"/>
          <a:r>
            <a:rPr lang="en-GB" sz="1100"/>
            <a:t>    p_H2O = max(y_H2O * P_val, 1e-3)</a:t>
          </a:r>
        </a:p>
        <a:p>
          <a:pPr algn="l"/>
          <a:endParaRPr lang="en-GB" sz="1100"/>
        </a:p>
        <a:p>
          <a:pPr algn="l"/>
          <a:r>
            <a:rPr lang="en-GB" sz="1100"/>
            <a:t>    k_RWGS = A_RWGS * math.exp(-Ea_RWGS / (R * T_val))</a:t>
          </a:r>
        </a:p>
        <a:p>
          <a:pPr algn="l"/>
          <a:endParaRPr lang="en-GB" sz="1100"/>
        </a:p>
        <a:p>
          <a:pPr algn="l"/>
          <a:r>
            <a:rPr lang="en-GB" sz="1100"/>
            <a:t>    K1 = K_CH4(T_val)</a:t>
          </a:r>
        </a:p>
        <a:p>
          <a:pPr algn="l"/>
          <a:r>
            <a:rPr lang="en-GB" sz="1100"/>
            <a:t>    K2 = K_CO2(T_val)</a:t>
          </a:r>
        </a:p>
        <a:p>
          <a:pPr algn="l"/>
          <a:r>
            <a:rPr lang="en-GB" sz="1100"/>
            <a:t>    K3 = K_H2(T_val)</a:t>
          </a:r>
        </a:p>
        <a:p>
          <a:pPr algn="l"/>
          <a:r>
            <a:rPr lang="en-GB" sz="1100"/>
            <a:t>    K21 = K_CO(T_val)</a:t>
          </a:r>
        </a:p>
        <a:p>
          <a:pPr algn="l"/>
          <a:r>
            <a:rPr lang="en-GB" sz="1100"/>
            <a:t>    K23 = K_H2O(T_val)</a:t>
          </a:r>
        </a:p>
        <a:p>
          <a:pPr algn="l"/>
          <a:endParaRPr lang="en-GB" sz="1100"/>
        </a:p>
        <a:p>
          <a:pPr algn="l"/>
          <a:r>
            <a:rPr lang="en-GB" sz="1100"/>
            <a:t>    Omega = 1.0 + K1*p_CH4 + K2*p_CO2 + K21*p_CO + math.sqrt(K3*p_H2) + K23*p_H2O</a:t>
          </a:r>
        </a:p>
        <a:p>
          <a:pPr algn="l"/>
          <a:r>
            <a:rPr lang="en-GB" sz="1100"/>
            <a:t>    denom = Omega ** 2</a:t>
          </a:r>
        </a:p>
        <a:p>
          <a:pPr algn="l"/>
          <a:endParaRPr lang="en-GB" sz="1100"/>
        </a:p>
        <a:p>
          <a:pPr algn="l"/>
          <a:r>
            <a:rPr lang="en-GB" sz="1100"/>
            <a:t>    Keq = K_eq_RWGS(T_val)</a:t>
          </a:r>
        </a:p>
        <a:p>
          <a:pPr algn="l"/>
          <a:r>
            <a:rPr lang="en-GB" sz="1100"/>
            <a:t>    Q = (p_CO * p_H2O) / (p_CO2 * p_H2)</a:t>
          </a:r>
        </a:p>
        <a:p>
          <a:pPr algn="l"/>
          <a:r>
            <a:rPr lang="en-GB" sz="1100"/>
            <a:t>    DF = (1.0 - Q / Keq)</a:t>
          </a:r>
        </a:p>
        <a:p>
          <a:pPr algn="l"/>
          <a:endParaRPr lang="en-GB" sz="1100"/>
        </a:p>
        <a:p>
          <a:pPr algn="l"/>
          <a:r>
            <a:rPr lang="en-GB" sz="1100"/>
            <a:t>    r_RWGS = k_RWGS * K2 * math.sqrt(K3 * p_H2) * p_CO2 * DF / denom</a:t>
          </a:r>
        </a:p>
        <a:p>
          <a:pPr algn="l"/>
          <a:endParaRPr lang="en-GB" sz="1100"/>
        </a:p>
        <a:p>
          <a:pPr algn="l"/>
          <a:r>
            <a:rPr lang="en-GB" sz="1100"/>
            <a:t>    eta_GL = 1.0</a:t>
          </a:r>
        </a:p>
        <a:p>
          <a:pPr algn="l"/>
          <a:r>
            <a:rPr lang="en-GB" sz="1100"/>
            <a:t>    r = r_RWGS * eta_GL</a:t>
          </a:r>
        </a:p>
        <a:p>
          <a:pPr algn="l"/>
          <a:endParaRPr lang="en-GB" sz="1100"/>
        </a:p>
        <a:p>
          <a:pPr algn="l"/>
          <a:r>
            <a:rPr lang="en-GB" sz="1100"/>
            <a:t># Output</a:t>
          </a:r>
        </a:p>
        <a:p>
          <a:pPr algn="l"/>
          <a:r>
            <a:rPr lang="en-GB" sz="1100"/>
            <a:t>r</a:t>
          </a:r>
        </a:p>
        <a:p>
          <a:pPr algn="l"/>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person displayName="BRUNO AGUN GANDARA" id="{5B19E0B1-C55C-2A4E-914C-832C2A1E94E1}" userId="S::bruno.agun@alumnos.upm.es::348ef6c9-a92d-4140-be6f-f41865f745d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BEE93F-423F-4130-B2A9-7FCC19487737}" name="Tabla3" displayName="Tabla3" ref="A14:N19" totalsRowShown="0">
  <autoFilter ref="A14:N19" xr:uid="{B8BEE93F-423F-4130-B2A9-7FCC19487737}"/>
  <tableColumns count="14">
    <tableColumn id="1" xr3:uid="{8C015A1B-E7CE-436F-AAB1-CD7027902DAE}" name="Temp. [K]" dataDxfId="41"/>
    <tableColumn id="2" xr3:uid="{63333550-066F-41BC-AF99-4091D1B019EF}" name="723" dataDxfId="40"/>
    <tableColumn id="3" xr3:uid="{D17BE71F-FFAB-4F96-B320-2F43CC9EB7CA}" name="773" dataDxfId="39"/>
    <tableColumn id="4" xr3:uid="{AAC52BFE-0073-43CE-B4AA-6131C4DBE79A}" name="823" dataDxfId="38"/>
    <tableColumn id="5" xr3:uid="{7B688E66-40D1-4167-A49F-C22E3CE78E10}" name="873" dataDxfId="37"/>
    <tableColumn id="6" xr3:uid="{5918DF5D-836A-4612-9C6B-A503693D01AC}" name="923" dataDxfId="36"/>
    <tableColumn id="7" xr3:uid="{7B98853C-A2DD-4CD1-AC52-0BE1ABC6DFA3}" name="973" dataDxfId="35"/>
    <tableColumn id="8" xr3:uid="{76C9B130-0AB7-4FBA-BC4E-6EF4D4BE53BA}" name="1023" dataDxfId="34"/>
    <tableColumn id="9" xr3:uid="{0E77E4A5-2BDD-4935-814C-7B8ED2B1759F}" name="1073" dataDxfId="33"/>
    <tableColumn id="10" xr3:uid="{0A8ABB44-E44C-4A28-BA34-079DBF6E2CFA}" name="1123" dataDxfId="32"/>
    <tableColumn id="11" xr3:uid="{13053A54-4ACC-41C4-900D-4206193C78B3}" name="1173" dataDxfId="31"/>
    <tableColumn id="12" xr3:uid="{F22DA6F8-9C32-41A8-B8DE-CFA6D02D79F2}" name="1223" dataDxfId="30"/>
    <tableColumn id="13" xr3:uid="{CFC73F4C-9E12-4CCD-BA44-6D4466277D57}" name="1273" dataDxfId="29"/>
    <tableColumn id="14" xr3:uid="{38434305-D4D5-4EF2-ADDF-BFE36713E91B}" name="1323" dataDxfId="28"/>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4F3DE7E-F38B-4FA9-8BA2-F6E77BB6E0AE}" name="Tabla35" displayName="Tabla35" ref="A24:N29" totalsRowShown="0">
  <autoFilter ref="A24:N29" xr:uid="{94F3DE7E-F38B-4FA9-8BA2-F6E77BB6E0AE}"/>
  <tableColumns count="14">
    <tableColumn id="1" xr3:uid="{5FF7C457-50AD-4822-ABE0-3890BB1BF1C8}" name="Temp. [K]" dataDxfId="27"/>
    <tableColumn id="2" xr3:uid="{EE4817B1-CE15-4667-8DB9-8344D5A326CA}" name="723" dataDxfId="26">
      <calculatedColumnFormula>$B$22/B15</calculatedColumnFormula>
    </tableColumn>
    <tableColumn id="3" xr3:uid="{DF93CF54-25A4-420B-A3BE-5BB0EDA90D3B}" name="773" dataDxfId="25">
      <calculatedColumnFormula>$B$22/C15</calculatedColumnFormula>
    </tableColumn>
    <tableColumn id="4" xr3:uid="{29FA5384-5945-4430-9EA2-0E7830F7433C}" name="823" dataDxfId="24">
      <calculatedColumnFormula>$B$22/D15</calculatedColumnFormula>
    </tableColumn>
    <tableColumn id="5" xr3:uid="{4F772345-AD11-42FF-85B4-CBC03D7804E4}" name="873" dataDxfId="23">
      <calculatedColumnFormula>$B$22/E15</calculatedColumnFormula>
    </tableColumn>
    <tableColumn id="6" xr3:uid="{806C70E5-EBAA-48AA-A5EC-505277364318}" name="923" dataDxfId="22">
      <calculatedColumnFormula>$B$22/F15</calculatedColumnFormula>
    </tableColumn>
    <tableColumn id="7" xr3:uid="{AA343426-47BF-4891-9AEA-9AC869E2A0C5}" name="973" dataDxfId="21">
      <calculatedColumnFormula>$B$22/G15</calculatedColumnFormula>
    </tableColumn>
    <tableColumn id="8" xr3:uid="{B259CCBB-E799-4717-A11E-E64D5910E18A}" name="1023" dataDxfId="20">
      <calculatedColumnFormula>$B$22/H15</calculatedColumnFormula>
    </tableColumn>
    <tableColumn id="9" xr3:uid="{E154BF4D-2142-4DB0-A9D2-28F9A110D2C1}" name="1073" dataDxfId="19">
      <calculatedColumnFormula>$B$22/I15</calculatedColumnFormula>
    </tableColumn>
    <tableColumn id="10" xr3:uid="{CB168ADE-E644-4B4C-AD41-7B22D230B65C}" name="1123" dataDxfId="18">
      <calculatedColumnFormula>$B$22/J15</calculatedColumnFormula>
    </tableColumn>
    <tableColumn id="11" xr3:uid="{4B46E353-4218-4ECF-A572-B6D3C4242D45}" name="1173" dataDxfId="17">
      <calculatedColumnFormula>$B$22/K15</calculatedColumnFormula>
    </tableColumn>
    <tableColumn id="12" xr3:uid="{5DCB8310-08AD-4E12-9469-7A0620372743}" name="1223" dataDxfId="16">
      <calculatedColumnFormula>$B$22/L15</calculatedColumnFormula>
    </tableColumn>
    <tableColumn id="13" xr3:uid="{C3720D16-8348-4A8F-B1A9-53FB4D94A97F}" name="1273" dataDxfId="15">
      <calculatedColumnFormula>$B$22/M15</calculatedColumnFormula>
    </tableColumn>
    <tableColumn id="14" xr3:uid="{55AE698C-D994-4852-80EC-EB3155A0FCFB}" name="1323" dataDxfId="14">
      <calculatedColumnFormula>$B$22/N15</calculatedColumnFormula>
    </tableColum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29CD79A-7B51-409A-BBC9-15EF0404DBB7}" name="Tabla356" displayName="Tabla356" ref="A33:N38" totalsRowShown="0">
  <autoFilter ref="A33:N38" xr:uid="{129CD79A-7B51-409A-BBC9-15EF0404DBB7}"/>
  <tableColumns count="14">
    <tableColumn id="1" xr3:uid="{DFB5D337-E6D5-4334-8103-08B48A46748D}" name="Temp. [K]" dataDxfId="13"/>
    <tableColumn id="2" xr3:uid="{5D611B5C-BA51-49BB-ABE8-FD34CC7D8F16}" name="723" dataDxfId="12">
      <calculatedColumnFormula>$B$31/B15</calculatedColumnFormula>
    </tableColumn>
    <tableColumn id="3" xr3:uid="{6B695CFE-7AF9-408D-BE75-7D7615673818}" name="773" dataDxfId="11">
      <calculatedColumnFormula>$B$31/C15</calculatedColumnFormula>
    </tableColumn>
    <tableColumn id="4" xr3:uid="{71CA28ED-86A9-4F95-A644-452C5FAEBB58}" name="823" dataDxfId="10">
      <calculatedColumnFormula>$B$31/D15</calculatedColumnFormula>
    </tableColumn>
    <tableColumn id="5" xr3:uid="{04FED741-FDC4-4DDF-B8F6-9FD56DB9EB09}" name="873" dataDxfId="9">
      <calculatedColumnFormula>$B$31/E15</calculatedColumnFormula>
    </tableColumn>
    <tableColumn id="6" xr3:uid="{4A9A0DA4-2907-43F9-B8A6-675C917C25F3}" name="923" dataDxfId="8">
      <calculatedColumnFormula>$B$31/F15</calculatedColumnFormula>
    </tableColumn>
    <tableColumn id="7" xr3:uid="{DD013394-2A80-4CCE-9463-7B304C80F103}" name="973" dataDxfId="7">
      <calculatedColumnFormula>$B$31/G15</calculatedColumnFormula>
    </tableColumn>
    <tableColumn id="8" xr3:uid="{DCE62D29-61E7-4952-933D-1935C32BDC77}" name="1023" dataDxfId="6">
      <calculatedColumnFormula>$B$31/H15</calculatedColumnFormula>
    </tableColumn>
    <tableColumn id="9" xr3:uid="{1B91F55F-8C62-4998-8352-E6C01BEF397D}" name="1073" dataDxfId="5">
      <calculatedColumnFormula>$B$31/I15</calculatedColumnFormula>
    </tableColumn>
    <tableColumn id="10" xr3:uid="{8D56F66F-D881-4960-ABE3-FEE49902F1A0}" name="1123" dataDxfId="4">
      <calculatedColumnFormula>$B$31/J15</calculatedColumnFormula>
    </tableColumn>
    <tableColumn id="11" xr3:uid="{CEDDB871-CF9A-4D1E-A1F4-181BFAB31113}" name="1173" dataDxfId="3">
      <calculatedColumnFormula>$B$31/K15</calculatedColumnFormula>
    </tableColumn>
    <tableColumn id="12" xr3:uid="{B1128002-5A2D-4416-99FD-CCF9288A41CE}" name="1223" dataDxfId="2">
      <calculatedColumnFormula>$B$31/L15</calculatedColumnFormula>
    </tableColumn>
    <tableColumn id="13" xr3:uid="{91059D10-047B-4232-A5B1-3CBF25B5F401}" name="1273" dataDxfId="1">
      <calculatedColumnFormula>$B$31/M15</calculatedColumnFormula>
    </tableColumn>
    <tableColumn id="14" xr3:uid="{54D4A491-2B43-420B-BF31-2AC37D0B209B}" name="1323" dataDxfId="0">
      <calculatedColumnFormula>$B$31/N15</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 dT="2026-06-11T18:21:27.16" personId="{5B19E0B1-C55C-2A4E-914C-832C2A1E94E1}" id="{52FD1AE3-D23F-A84F-84E2-4C28F54BA6C5}">
    <text>De la estimación 2 que es sobre Fe, se puede hacer una  analogía imperfecta (μ_Fe ≈ 5 × μ_Sn) pero justifica el orden de magnitud.</text>
  </threadedComment>
  <threadedComment ref="C5" dT="2026-06-11T18:19:29.88" personId="{5B19E0B1-C55C-2A4E-914C-832C2A1E94E1}" id="{C2ED6C22-5F0C-E147-9C92-A57FD7164B7C}">
    <text>Estimación 2 (analogía con C en Fe líquido):* El único sistema bien medido con el mismo soluto es C en Fe líquido a 1600°C: DCFe≈2×10−9D_C^\mathrm{Fe} \approx 2\times10^{-9}
DCFe​≈2×10−9 m²/s (Emi &amp; Ono, 1974, Trans. Iron Steel Inst. Japan).</text>
  </threadedComment>
  <threadedComment ref="D5" dT="2026-06-11T18:16:13.81" personId="{5B19E0B1-C55C-2A4E-914C-832C2A1E94E1}" id="{86BC77B4-F6C5-1547-BF6C-872CDD64ADAF}">
    <text>Estimación 1 (Stokes-Einstein): usando μSn(1273 K)=0.70×10−3\mu_\mathrm{Sn}(1273\,\text{K}) = 0.70\times10^{-3}
μSn​(1273K)=0.70×10−3 Pa·s (Assael et al., 2010, DOI: 10.1063/1.3467496) y rC=1.7r_C = 1.7
rC​=1.7 Å (radio de van der Waals del carbono).</text>
  </threadedComment>
  <threadedComment ref="A7" dT="2026-06-11T18:25:20.16" personId="{5B19E0B1-C55C-2A4E-914C-832C2A1E94E1}" id="{826277F7-BE15-5D4C-B898-4C5A43574CAC}">
    <text>Parámetro mas incierto</text>
  </threadedComment>
  <threadedComment ref="D7" dT="2026-06-11T18:22:41.52" personId="{5B19E0B1-C55C-2A4E-914C-832C2A1E94E1}" id="{DD4978CE-5CD1-224D-A3C6-E4703343A439}">
    <text/>
  </threadedComment>
  <threadedComment ref="B9" dT="2026-06-11T18:21:27.16" personId="{5B19E0B1-C55C-2A4E-914C-832C2A1E94E1}" id="{81D7B3D9-4DA2-EE49-8AF5-8C3A55AB7940}">
    <text>De la estimación 2 que es sobre Fe, se puede hacer una  analogía imperfecta (μ_Fe ≈ 5 × μ_Sn) pero justifica el orden de magnitud.</text>
  </threadedComment>
  <threadedComment ref="D9" dT="2026-06-11T18:24:09.51" personId="{5B19E0B1-C55C-2A4E-914C-832C2A1E94E1}" id="{A8EE5075-D97F-4C47-8AE5-62944BDC935D}">
    <text>No hay incertidumbre externa: la fuente es interna y consistente con los valores del reactor PFR. Referencia: Akita &amp; Yoshida (1974), Ind. Eng. Chem. Proc. Des. Dev. 13, 84 (DOI: 10.1021/i260049a016).</text>
  </threadedComment>
  <threadedComment ref="A11" dT="2026-06-11T18:35:02.40" personId="{5B19E0B1-C55C-2A4E-914C-832C2A1E94E1}" id="{AA0DC85A-8444-1A43-9E08-5829FF8B5031}">
    <text>La solubilidad del carbono en estaño líquido es extremadamente baja. Del diagrama de fases binario Sn–C</text>
  </threadedComment>
  <threadedComment ref="B11" dT="2026-06-11T18:37:56.93" personId="{5B19E0B1-C55C-2A4E-914C-832C2A1E94E1}" id="{B11AEF49-489B-894B-9CCE-470C73033021}">
    <text>Massalski (1990), Binary Alloy Phase Diagrams a 1000°C con una solubilidad~0.01 at% y C_sat=5.5mol/m3</text>
  </threadedComment>
  <threadedComment ref="C11" dT="2026-06-11T18:38:41.82" personId="{5B19E0B1-C55C-2A4E-914C-832C2A1E94E1}" id="{05FFF099-2CF7-A841-9C5B-E4DE7852DE4C}">
    <text>Okamoto (2012), J. Phase Equilib. Diffus. 33, 100 a 1100°C con una solubilidad~0.02–0.05 at% y C_sat=11–27 mol/m3</text>
  </threadedComment>
  <threadedComment ref="D11" dT="2026-06-11T18:39:17.13" personId="{5B19E0B1-C55C-2A4E-914C-832C2A1E94E1}" id="{CBF8BDEF-3333-EF49-8B5F-D7BA6EDC2694}">
    <text>Estimación CALPHAD (FactSage) a 1273 K con una solubilidad~0.03–0.07 at% y C_sat=16–38mol/m3</text>
  </threadedComment>
  <threadedComment ref="B45" dT="2026-06-15T19:04:55.91" personId="{5B19E0B1-C55C-2A4E-914C-832C2A1E94E1}" id="{95B37C73-C5EB-4341-ACDB-5DE41DDC5C08}">
    <text>Cuando C_bulk=C_sat, \theta tiende al infinito</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3.xml"/><Relationship Id="rId1" Type="http://schemas.openxmlformats.org/officeDocument/2006/relationships/printerSettings" Target="../printerSettings/printerSettings1.bin"/><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F7E58-0B64-4789-89CA-6646600680B7}">
  <dimension ref="A1:D5"/>
  <sheetViews>
    <sheetView workbookViewId="0">
      <selection activeCell="C36" sqref="C36"/>
    </sheetView>
  </sheetViews>
  <sheetFormatPr baseColWidth="10" defaultRowHeight="14.25"/>
  <cols>
    <col min="1" max="1" width="2.875" bestFit="1" customWidth="1"/>
    <col min="2" max="2" width="20.125" customWidth="1"/>
    <col min="3" max="3" width="16.625" bestFit="1" customWidth="1"/>
  </cols>
  <sheetData>
    <row r="1" spans="1:4" ht="15">
      <c r="A1" s="317" t="s">
        <v>52</v>
      </c>
      <c r="B1" s="317"/>
      <c r="C1" s="317"/>
      <c r="D1" s="317"/>
    </row>
    <row r="2" spans="1:4" ht="15">
      <c r="A2" s="9" t="s">
        <v>53</v>
      </c>
      <c r="B2" s="9" t="s">
        <v>54</v>
      </c>
      <c r="C2" t="s">
        <v>58</v>
      </c>
      <c r="D2" t="s">
        <v>59</v>
      </c>
    </row>
    <row r="3" spans="1:4" ht="15">
      <c r="A3" s="9" t="s">
        <v>55</v>
      </c>
    </row>
    <row r="4" spans="1:4" ht="15">
      <c r="A4" s="9" t="s">
        <v>56</v>
      </c>
    </row>
    <row r="5" spans="1:4" ht="15">
      <c r="A5" s="9" t="s">
        <v>57</v>
      </c>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B0083-21D2-408B-B3FF-F7754746A67D}">
  <sheetPr>
    <tabColor theme="3" tint="0.749992370372631"/>
  </sheetPr>
  <dimension ref="A1:J31"/>
  <sheetViews>
    <sheetView workbookViewId="0">
      <selection activeCell="B16" sqref="B16"/>
    </sheetView>
  </sheetViews>
  <sheetFormatPr baseColWidth="10" defaultRowHeight="14.25"/>
  <cols>
    <col min="1" max="1" width="23.625" bestFit="1" customWidth="1"/>
    <col min="4" max="4" width="2.875" customWidth="1"/>
    <col min="5" max="5" width="12.625" customWidth="1"/>
    <col min="6" max="6" width="12.125" bestFit="1" customWidth="1"/>
    <col min="7" max="8" width="12" bestFit="1" customWidth="1"/>
  </cols>
  <sheetData>
    <row r="1" spans="1:10" s="11" customFormat="1" ht="15">
      <c r="A1" s="13" t="s">
        <v>0</v>
      </c>
      <c r="B1" s="13"/>
      <c r="C1" s="13"/>
      <c r="D1" s="13"/>
      <c r="E1" s="13"/>
      <c r="F1" s="13"/>
      <c r="G1" s="13"/>
      <c r="H1" s="13"/>
      <c r="I1" s="13"/>
      <c r="J1" s="13"/>
    </row>
    <row r="2" spans="1:10" ht="15">
      <c r="A2" s="1" t="s">
        <v>1</v>
      </c>
      <c r="B2" s="1" t="s">
        <v>2</v>
      </c>
      <c r="C2" s="1" t="s">
        <v>3</v>
      </c>
      <c r="D2" s="2"/>
      <c r="E2" s="1" t="s">
        <v>4</v>
      </c>
      <c r="F2" s="2"/>
      <c r="G2" s="2"/>
      <c r="H2" s="2"/>
      <c r="I2" s="2"/>
      <c r="J2" s="2"/>
    </row>
    <row r="3" spans="1:10">
      <c r="A3" t="s">
        <v>35</v>
      </c>
      <c r="B3" s="141">
        <v>1273</v>
      </c>
      <c r="C3" t="s">
        <v>5</v>
      </c>
      <c r="D3" s="3"/>
    </row>
    <row r="4" spans="1:10">
      <c r="A4" t="s">
        <v>6</v>
      </c>
      <c r="B4" s="141">
        <v>1.01325</v>
      </c>
      <c r="C4" t="s">
        <v>7</v>
      </c>
      <c r="D4" s="3"/>
    </row>
    <row r="5" spans="1:10" ht="15" thickBot="1">
      <c r="A5" t="s">
        <v>8</v>
      </c>
      <c r="B5" s="141">
        <v>8.3140000000000001</v>
      </c>
      <c r="C5" t="s">
        <v>9</v>
      </c>
      <c r="D5" s="3"/>
    </row>
    <row r="6" spans="1:10" ht="24" customHeight="1">
      <c r="A6" s="129" t="s">
        <v>10</v>
      </c>
      <c r="B6" s="57"/>
      <c r="C6" s="45"/>
      <c r="D6" s="3"/>
      <c r="E6" s="129" t="s">
        <v>11</v>
      </c>
      <c r="F6" s="57"/>
      <c r="G6" s="45"/>
      <c r="H6" s="3"/>
      <c r="I6" s="3"/>
      <c r="J6" s="3"/>
    </row>
    <row r="7" spans="1:10" ht="15">
      <c r="A7" s="135" t="s">
        <v>12</v>
      </c>
      <c r="B7" s="5">
        <f>'Domain-Shift'!L6</f>
        <v>1290000</v>
      </c>
      <c r="C7" s="131" t="s">
        <v>13</v>
      </c>
      <c r="D7" s="3"/>
      <c r="E7" s="135" t="s">
        <v>17</v>
      </c>
      <c r="F7" s="7">
        <f>B7*EXP(-B8/(B5*B3))</f>
        <v>1.0637850005990563E-2</v>
      </c>
      <c r="G7" s="131"/>
    </row>
    <row r="8" spans="1:10" ht="15">
      <c r="A8" s="135" t="s">
        <v>14</v>
      </c>
      <c r="B8">
        <f>'Domain-Shift'!L7</f>
        <v>197000</v>
      </c>
      <c r="C8" s="131" t="s">
        <v>15</v>
      </c>
      <c r="D8" s="3"/>
      <c r="E8" s="135" t="s">
        <v>36</v>
      </c>
      <c r="F8" s="7">
        <f>B9*EXP(-B10/(B5*B3))</f>
        <v>35.264500098503078</v>
      </c>
      <c r="G8" s="131"/>
    </row>
    <row r="9" spans="1:10" ht="15">
      <c r="A9" s="135" t="s">
        <v>16</v>
      </c>
      <c r="B9" s="5">
        <f>'Domain-Shift'!L8</f>
        <v>350000</v>
      </c>
      <c r="C9" s="131" t="s">
        <v>13</v>
      </c>
      <c r="D9" s="3"/>
      <c r="E9" s="145" t="s">
        <v>50</v>
      </c>
      <c r="F9" s="139">
        <f>B11*EXP(-B12/(B5*B3))</f>
        <v>1.1347073760314579E-11</v>
      </c>
      <c r="G9" s="131"/>
    </row>
    <row r="10" spans="1:10" ht="15">
      <c r="A10" s="135" t="s">
        <v>18</v>
      </c>
      <c r="B10">
        <f>'Domain-Shift'!L9</f>
        <v>97400</v>
      </c>
      <c r="C10" s="131" t="s">
        <v>15</v>
      </c>
      <c r="D10" s="3"/>
      <c r="E10" s="145" t="s">
        <v>51</v>
      </c>
      <c r="F10" s="139">
        <f>B13*EXP(-B14/(B5*B3))</f>
        <v>1.0572734816144583E-12</v>
      </c>
      <c r="G10" s="131"/>
    </row>
    <row r="11" spans="1:10" ht="15.75" thickBot="1">
      <c r="A11" s="138" t="s">
        <v>46</v>
      </c>
      <c r="B11" s="139">
        <v>0.08</v>
      </c>
      <c r="C11" s="140" t="s">
        <v>13</v>
      </c>
      <c r="D11" s="3"/>
      <c r="E11" s="146" t="s">
        <v>212</v>
      </c>
      <c r="F11" s="143"/>
      <c r="G11" s="134"/>
    </row>
    <row r="12" spans="1:10">
      <c r="A12" s="138" t="s">
        <v>47</v>
      </c>
      <c r="B12" s="141">
        <v>240000</v>
      </c>
      <c r="C12" s="140" t="s">
        <v>15</v>
      </c>
      <c r="D12" s="3"/>
      <c r="E12" s="8"/>
      <c r="F12" s="8"/>
    </row>
    <row r="13" spans="1:10">
      <c r="A13" s="138" t="s">
        <v>48</v>
      </c>
      <c r="B13" s="139">
        <v>1.0000000000000001E-5</v>
      </c>
      <c r="C13" s="140" t="s">
        <v>13</v>
      </c>
      <c r="D13" s="3"/>
    </row>
    <row r="14" spans="1:10" ht="15" thickBot="1">
      <c r="A14" s="142" t="s">
        <v>49</v>
      </c>
      <c r="B14" s="143">
        <v>170000</v>
      </c>
      <c r="C14" s="144" t="s">
        <v>15</v>
      </c>
      <c r="D14" s="3"/>
    </row>
    <row r="15" spans="1:10" ht="24" customHeight="1">
      <c r="A15" s="129" t="s">
        <v>19</v>
      </c>
      <c r="B15" s="57"/>
      <c r="C15" s="45"/>
      <c r="D15" s="3"/>
      <c r="E15" s="129" t="s">
        <v>20</v>
      </c>
      <c r="F15" s="57"/>
      <c r="G15" s="57"/>
      <c r="H15" s="57"/>
      <c r="I15" s="45"/>
      <c r="J15" s="3"/>
    </row>
    <row r="16" spans="1:10" ht="15">
      <c r="A16" s="135" t="s">
        <v>24</v>
      </c>
      <c r="B16" s="5">
        <f>'Domain-Shift'!L11</f>
        <v>2.5999999999999999E-2</v>
      </c>
      <c r="C16" s="131" t="s">
        <v>39</v>
      </c>
      <c r="D16" s="3"/>
      <c r="E16" s="135" t="s">
        <v>24</v>
      </c>
      <c r="F16" s="5">
        <f>B16*EXP(-B17/(B5*B3))</f>
        <v>0.26099632445433596</v>
      </c>
      <c r="G16" t="s">
        <v>39</v>
      </c>
      <c r="H16" s="5">
        <f>F16*0.00001</f>
        <v>2.6099632445433599E-6</v>
      </c>
      <c r="I16" s="131" t="s">
        <v>21</v>
      </c>
    </row>
    <row r="17" spans="1:10" ht="15">
      <c r="A17" s="135" t="s">
        <v>22</v>
      </c>
      <c r="B17">
        <f>'Domain-Shift'!L12</f>
        <v>-24410.399999999998</v>
      </c>
      <c r="C17" s="131" t="s">
        <v>15</v>
      </c>
      <c r="D17" s="3"/>
      <c r="E17" s="135" t="s">
        <v>25</v>
      </c>
      <c r="F17" s="5">
        <f>B18*EXP(-B19/(B5*B3))</f>
        <v>0.22048615435672689</v>
      </c>
      <c r="G17" t="s">
        <v>39</v>
      </c>
      <c r="H17" s="5">
        <f>F17*0.00001</f>
        <v>2.2048615435672692E-6</v>
      </c>
      <c r="I17" s="131" t="s">
        <v>21</v>
      </c>
    </row>
    <row r="18" spans="1:10" ht="15">
      <c r="A18" s="135" t="s">
        <v>25</v>
      </c>
      <c r="B18" s="5">
        <f>'Domain-Shift'!L13</f>
        <v>2.6100000000000002E-2</v>
      </c>
      <c r="C18" s="131" t="s">
        <v>39</v>
      </c>
      <c r="D18" s="3"/>
      <c r="E18" s="135" t="s">
        <v>27</v>
      </c>
      <c r="F18" s="5">
        <f>B20*EXP(-B21/(B5*B3))</f>
        <v>1.7022594884548415E-4</v>
      </c>
      <c r="G18" t="s">
        <v>39</v>
      </c>
      <c r="H18" s="5">
        <f>F18*0.00001</f>
        <v>1.7022594884548416E-9</v>
      </c>
      <c r="I18" s="131" t="s">
        <v>21</v>
      </c>
    </row>
    <row r="19" spans="1:10" ht="15">
      <c r="A19" s="135" t="s">
        <v>23</v>
      </c>
      <c r="B19">
        <f>'Domain-Shift'!L14</f>
        <v>-22584.6</v>
      </c>
      <c r="C19" s="131" t="s">
        <v>15</v>
      </c>
      <c r="D19" s="3"/>
      <c r="E19" s="135" t="s">
        <v>28</v>
      </c>
      <c r="F19" s="5">
        <f>B22*EXP(-B23/(B5*B3))</f>
        <v>2.1742078490000323E-5</v>
      </c>
      <c r="G19" t="s">
        <v>39</v>
      </c>
      <c r="H19" s="5">
        <f>F19*0.00001</f>
        <v>2.1742078490000324E-10</v>
      </c>
      <c r="I19" s="131" t="s">
        <v>21</v>
      </c>
    </row>
    <row r="20" spans="1:10" ht="15.75" thickBot="1">
      <c r="A20" s="135" t="s">
        <v>27</v>
      </c>
      <c r="B20" s="5">
        <f>'Domain-Shift'!L15</f>
        <v>1.0000000000000001E-5</v>
      </c>
      <c r="C20" s="131" t="s">
        <v>39</v>
      </c>
      <c r="D20" s="3"/>
      <c r="E20" s="136" t="s">
        <v>38</v>
      </c>
      <c r="F20" s="137">
        <f>B24*EXP(-B25/(B5*B3))</f>
        <v>1.207838639772898E-3</v>
      </c>
      <c r="G20" s="133" t="s">
        <v>39</v>
      </c>
      <c r="H20" s="137">
        <f>F20*0.00001</f>
        <v>1.207838639772898E-8</v>
      </c>
      <c r="I20" s="134" t="s">
        <v>21</v>
      </c>
    </row>
    <row r="21" spans="1:10" ht="15">
      <c r="A21" s="135" t="s">
        <v>26</v>
      </c>
      <c r="B21">
        <f>'Domain-Shift'!L16</f>
        <v>-30000</v>
      </c>
      <c r="C21" s="131" t="s">
        <v>15</v>
      </c>
      <c r="D21" s="3"/>
    </row>
    <row r="22" spans="1:10" ht="15">
      <c r="A22" s="135" t="s">
        <v>37</v>
      </c>
      <c r="B22" s="5">
        <f>'Domain-Shift'!L17</f>
        <v>1.0000000000000001E-5</v>
      </c>
      <c r="C22" s="131" t="s">
        <v>39</v>
      </c>
      <c r="D22" s="3"/>
    </row>
    <row r="23" spans="1:10" ht="15">
      <c r="A23" s="135" t="s">
        <v>29</v>
      </c>
      <c r="B23">
        <f>'Domain-Shift'!L18</f>
        <v>-8220</v>
      </c>
      <c r="C23" s="131" t="s">
        <v>15</v>
      </c>
      <c r="D23" s="3"/>
    </row>
    <row r="24" spans="1:10" ht="15">
      <c r="A24" s="135" t="s">
        <v>38</v>
      </c>
      <c r="B24" s="5">
        <f>'Domain-Shift'!L19</f>
        <v>4.7299999999999996E-6</v>
      </c>
      <c r="C24" s="131" t="s">
        <v>39</v>
      </c>
      <c r="D24" s="3"/>
    </row>
    <row r="25" spans="1:10" ht="15.75" thickBot="1">
      <c r="A25" s="136" t="s">
        <v>30</v>
      </c>
      <c r="B25" s="133">
        <f>'Domain-Shift'!L20</f>
        <v>-58662</v>
      </c>
      <c r="C25" s="134" t="s">
        <v>15</v>
      </c>
      <c r="D25" s="3"/>
    </row>
    <row r="26" spans="1:10" ht="15">
      <c r="A26" s="129" t="s">
        <v>31</v>
      </c>
      <c r="B26" s="57"/>
      <c r="C26" s="45"/>
      <c r="D26" s="3"/>
      <c r="E26" s="4" t="s">
        <v>32</v>
      </c>
      <c r="F26" s="3"/>
      <c r="G26" s="3"/>
      <c r="H26" s="3"/>
      <c r="I26" s="3"/>
      <c r="J26" s="3"/>
    </row>
    <row r="27" spans="1:10">
      <c r="A27" s="130" t="s">
        <v>42</v>
      </c>
      <c r="B27" s="5">
        <f>'Domain-Shift'!L22</f>
        <v>678000000000000</v>
      </c>
      <c r="C27" s="131"/>
      <c r="D27" s="3"/>
    </row>
    <row r="28" spans="1:10" ht="15">
      <c r="A28" s="130" t="s">
        <v>43</v>
      </c>
      <c r="B28">
        <f>'Domain-Shift'!L23</f>
        <v>259660</v>
      </c>
      <c r="C28" s="131"/>
      <c r="D28" s="3"/>
      <c r="E28" s="9" t="s">
        <v>40</v>
      </c>
      <c r="F28" s="7">
        <f>B27*EXP(-B28/(B5*B3))</f>
        <v>15006.913101240065</v>
      </c>
      <c r="G28" t="s">
        <v>33</v>
      </c>
      <c r="H28" s="17">
        <f>1/F28</f>
        <v>6.6635955926030324E-5</v>
      </c>
    </row>
    <row r="29" spans="1:10" ht="15">
      <c r="A29" s="130" t="s">
        <v>44</v>
      </c>
      <c r="B29">
        <f>'Domain-Shift'!L24</f>
        <v>56.497100000000003</v>
      </c>
      <c r="C29" s="131"/>
      <c r="D29" s="3"/>
      <c r="E29" s="9" t="s">
        <v>41</v>
      </c>
      <c r="F29" s="7">
        <f>B29*EXP(-B30/(B5*B3))</f>
        <v>1.7823599226028397</v>
      </c>
      <c r="G29" t="s">
        <v>34</v>
      </c>
      <c r="H29" s="17">
        <f>1/F29</f>
        <v>0.56105390797817456</v>
      </c>
    </row>
    <row r="30" spans="1:10" ht="15" thickBot="1">
      <c r="A30" s="132" t="s">
        <v>45</v>
      </c>
      <c r="B30" s="133">
        <f>'Domain-Shift'!L25</f>
        <v>36580</v>
      </c>
      <c r="C30" s="134"/>
      <c r="D30" s="3"/>
      <c r="G30" s="6"/>
    </row>
    <row r="31" spans="1:10" ht="15">
      <c r="A31" s="4"/>
      <c r="B31" s="3"/>
      <c r="C31" s="3"/>
      <c r="D31" s="3"/>
      <c r="E31" s="3"/>
      <c r="F31" s="3"/>
      <c r="G31" s="3"/>
      <c r="H31" s="3"/>
      <c r="I31" s="3"/>
      <c r="J31" s="3"/>
    </row>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25889-8210-4337-A0B5-6418B71A9D05}">
  <sheetPr>
    <tabColor theme="0" tint="-0.34998626667073579"/>
  </sheetPr>
  <dimension ref="A1:AF46"/>
  <sheetViews>
    <sheetView topLeftCell="A4" zoomScale="85" zoomScaleNormal="85" workbookViewId="0">
      <selection activeCell="A4" sqref="A4:I4"/>
    </sheetView>
  </sheetViews>
  <sheetFormatPr baseColWidth="10" defaultRowHeight="14.25"/>
  <cols>
    <col min="1" max="1" width="5.125" bestFit="1" customWidth="1"/>
    <col min="2" max="2" width="19.125" customWidth="1"/>
    <col min="5" max="5" width="2.625" customWidth="1"/>
    <col min="6" max="6" width="13.375" customWidth="1"/>
    <col min="7" max="7" width="8.125" customWidth="1"/>
    <col min="8" max="8" width="5" bestFit="1" customWidth="1"/>
    <col min="9" max="9" width="2.625" customWidth="1"/>
    <col min="10" max="10" width="5.875" customWidth="1"/>
    <col min="11" max="11" width="18.375" customWidth="1"/>
    <col min="13" max="13" width="13.5" customWidth="1"/>
    <col min="14" max="14" width="3" customWidth="1"/>
    <col min="15" max="15" width="12" customWidth="1"/>
    <col min="16" max="16" width="10.5" customWidth="1"/>
    <col min="17" max="17" width="6.375" customWidth="1"/>
    <col min="18" max="18" width="2.125" customWidth="1"/>
    <col min="20" max="20" width="11.625" bestFit="1" customWidth="1"/>
  </cols>
  <sheetData>
    <row r="1" spans="1:32" ht="15.75">
      <c r="A1" s="12"/>
      <c r="B1" s="25" t="s">
        <v>120</v>
      </c>
      <c r="C1" s="26">
        <v>8.3140000000000001</v>
      </c>
      <c r="D1" s="26" t="s">
        <v>121</v>
      </c>
    </row>
    <row r="2" spans="1:32" ht="16.5" thickBot="1">
      <c r="A2" s="12"/>
      <c r="B2" s="25" t="s">
        <v>122</v>
      </c>
      <c r="C2" s="44">
        <v>1023</v>
      </c>
      <c r="D2" s="26" t="s">
        <v>5</v>
      </c>
    </row>
    <row r="3" spans="1:32" ht="15.75" thickBot="1">
      <c r="A3" s="318" t="s">
        <v>200</v>
      </c>
      <c r="B3" s="319"/>
      <c r="C3" s="319"/>
      <c r="D3" s="319"/>
      <c r="E3" s="319"/>
      <c r="F3" s="319"/>
      <c r="G3" s="319"/>
      <c r="H3" s="319"/>
      <c r="I3" s="319"/>
      <c r="J3" s="319"/>
      <c r="K3" s="319"/>
      <c r="L3" s="319"/>
      <c r="M3" s="319"/>
      <c r="N3" s="319"/>
      <c r="O3" s="319"/>
      <c r="P3" s="319"/>
      <c r="Q3" s="319"/>
      <c r="R3" s="320"/>
    </row>
    <row r="4" spans="1:32" ht="16.5" thickBot="1">
      <c r="A4" s="318" t="s">
        <v>169</v>
      </c>
      <c r="B4" s="319"/>
      <c r="C4" s="319"/>
      <c r="D4" s="319"/>
      <c r="E4" s="319"/>
      <c r="F4" s="319"/>
      <c r="G4" s="319"/>
      <c r="H4" s="319"/>
      <c r="I4" s="320"/>
      <c r="J4" s="318" t="s">
        <v>170</v>
      </c>
      <c r="K4" s="319"/>
      <c r="L4" s="319"/>
      <c r="M4" s="319"/>
      <c r="N4" s="319"/>
      <c r="O4" s="319"/>
      <c r="P4" s="319"/>
      <c r="Q4" s="319"/>
      <c r="R4" s="320"/>
      <c r="T4" s="31" t="s">
        <v>128</v>
      </c>
      <c r="U4" s="32">
        <v>723</v>
      </c>
      <c r="V4" s="32">
        <v>773</v>
      </c>
      <c r="W4" s="32">
        <v>823</v>
      </c>
      <c r="X4" s="32">
        <v>873</v>
      </c>
      <c r="Y4" s="32">
        <v>923</v>
      </c>
      <c r="Z4" s="32">
        <v>973</v>
      </c>
      <c r="AA4" s="32">
        <v>1023</v>
      </c>
      <c r="AB4" s="32">
        <v>1073</v>
      </c>
      <c r="AC4" s="32">
        <v>1123</v>
      </c>
      <c r="AD4" s="32">
        <v>1173</v>
      </c>
      <c r="AE4" s="32">
        <v>1223</v>
      </c>
      <c r="AF4" s="32">
        <v>1273</v>
      </c>
    </row>
    <row r="5" spans="1:32" ht="15.75">
      <c r="A5" s="3"/>
      <c r="B5" s="28" t="s">
        <v>10</v>
      </c>
      <c r="C5" s="3"/>
      <c r="D5" s="3"/>
      <c r="E5" s="3"/>
      <c r="F5" s="321" t="s">
        <v>123</v>
      </c>
      <c r="G5" s="321"/>
      <c r="H5" s="321"/>
      <c r="I5" s="45"/>
      <c r="J5" s="55"/>
      <c r="K5" s="56" t="s">
        <v>10</v>
      </c>
      <c r="L5" s="57"/>
      <c r="M5" s="57"/>
      <c r="N5" s="57"/>
      <c r="O5" s="321" t="s">
        <v>123</v>
      </c>
      <c r="P5" s="321"/>
      <c r="Q5" s="321"/>
      <c r="R5" s="45"/>
      <c r="T5" s="9" t="s">
        <v>206</v>
      </c>
      <c r="U5" s="64">
        <v>9.5443099999999994E-5</v>
      </c>
      <c r="V5">
        <v>1.8521299999999999E-4</v>
      </c>
      <c r="W5">
        <v>3.2735700000000002E-4</v>
      </c>
      <c r="X5">
        <v>5.2589499999999996E-4</v>
      </c>
      <c r="Y5">
        <v>7.5032500000000004E-4</v>
      </c>
      <c r="Z5">
        <v>9.4706E-4</v>
      </c>
      <c r="AA5">
        <v>1.0828000000000001E-3</v>
      </c>
      <c r="AB5">
        <v>1.16278E-3</v>
      </c>
      <c r="AC5">
        <v>1.20601E-3</v>
      </c>
      <c r="AD5">
        <v>1.2298400000000001E-3</v>
      </c>
      <c r="AE5">
        <v>1.24193E-3</v>
      </c>
      <c r="AF5">
        <v>1.2492200000000001E-3</v>
      </c>
    </row>
    <row r="6" spans="1:32" ht="15.75">
      <c r="A6" s="3"/>
      <c r="B6" t="s">
        <v>12</v>
      </c>
      <c r="C6" s="30">
        <v>1290000</v>
      </c>
      <c r="D6" t="s">
        <v>168</v>
      </c>
      <c r="E6" s="3"/>
      <c r="F6" s="34" t="s">
        <v>193</v>
      </c>
      <c r="G6" s="34">
        <f>C6*EXP(-C7/($C$1*$C$2))</f>
        <v>7.923857311495933</v>
      </c>
      <c r="I6" s="46"/>
      <c r="J6" s="58"/>
      <c r="K6" t="s">
        <v>12</v>
      </c>
      <c r="L6" s="30">
        <v>1290000</v>
      </c>
      <c r="M6" t="s">
        <v>168</v>
      </c>
      <c r="N6" s="3"/>
      <c r="O6" s="34" t="s">
        <v>193</v>
      </c>
      <c r="P6" s="34">
        <f>L6*EXP(-L7/($C$1*$C$2))</f>
        <v>1.1255281034918911E-4</v>
      </c>
      <c r="R6" s="46"/>
      <c r="T6" s="9" t="s">
        <v>207</v>
      </c>
      <c r="U6" s="64">
        <v>1.53838E-4</v>
      </c>
      <c r="V6">
        <v>2.86939E-4</v>
      </c>
      <c r="W6">
        <v>4.6682400000000001E-4</v>
      </c>
      <c r="X6">
        <v>6.8436300000000001E-4</v>
      </c>
      <c r="Y6">
        <v>8.9810900000000002E-4</v>
      </c>
      <c r="Z6">
        <v>1.06203E-3</v>
      </c>
      <c r="AA6">
        <v>1.16222E-3</v>
      </c>
      <c r="AB6">
        <v>1.21525E-3</v>
      </c>
      <c r="AC6">
        <v>1.24143E-3</v>
      </c>
      <c r="AD6">
        <v>1.2563800000000001E-3</v>
      </c>
      <c r="AE6">
        <v>1.2650599999999999E-3</v>
      </c>
      <c r="AF6">
        <v>1.2696199999999999E-3</v>
      </c>
    </row>
    <row r="7" spans="1:32">
      <c r="A7" s="3"/>
      <c r="B7" t="s">
        <v>14</v>
      </c>
      <c r="C7" s="33">
        <v>102065</v>
      </c>
      <c r="D7" t="s">
        <v>15</v>
      </c>
      <c r="E7" s="3"/>
      <c r="I7" s="46"/>
      <c r="J7" s="58"/>
      <c r="K7" t="s">
        <v>14</v>
      </c>
      <c r="L7" s="63">
        <v>197000</v>
      </c>
      <c r="M7" t="s">
        <v>15</v>
      </c>
      <c r="N7" s="3"/>
      <c r="R7" s="46"/>
      <c r="S7" s="63">
        <v>110265</v>
      </c>
    </row>
    <row r="8" spans="1:32" ht="15.75">
      <c r="A8" s="3"/>
      <c r="B8" t="s">
        <v>16</v>
      </c>
      <c r="C8" s="30">
        <v>350000</v>
      </c>
      <c r="D8" t="s">
        <v>168</v>
      </c>
      <c r="E8" s="3"/>
      <c r="F8" s="34" t="s">
        <v>194</v>
      </c>
      <c r="G8" s="34">
        <f>C8*EXP(-C9/($C$1*$C$2))</f>
        <v>25.498005964605799</v>
      </c>
      <c r="I8" s="46"/>
      <c r="J8" s="58"/>
      <c r="K8" t="s">
        <v>16</v>
      </c>
      <c r="L8" s="30">
        <v>350000</v>
      </c>
      <c r="M8" t="s">
        <v>168</v>
      </c>
      <c r="N8" s="3"/>
      <c r="O8" s="34" t="s">
        <v>194</v>
      </c>
      <c r="P8" s="34">
        <f>L8*EXP(-L9/($C$1*$C$2))</f>
        <v>3.7206572907858027</v>
      </c>
      <c r="R8" s="46"/>
    </row>
    <row r="9" spans="1:32">
      <c r="A9" s="3"/>
      <c r="B9" t="s">
        <v>18</v>
      </c>
      <c r="C9" s="33">
        <v>81030</v>
      </c>
      <c r="D9" t="s">
        <v>15</v>
      </c>
      <c r="E9" s="3"/>
      <c r="I9" s="46"/>
      <c r="J9" s="58"/>
      <c r="K9" t="s">
        <v>18</v>
      </c>
      <c r="L9" s="63">
        <v>97400</v>
      </c>
      <c r="M9" t="s">
        <v>15</v>
      </c>
      <c r="N9" s="3"/>
      <c r="R9" s="46"/>
      <c r="S9" s="63">
        <v>88530</v>
      </c>
    </row>
    <row r="10" spans="1:32" ht="15.75">
      <c r="A10" s="3"/>
      <c r="B10" s="28" t="s">
        <v>19</v>
      </c>
      <c r="C10" s="3"/>
      <c r="D10" s="3"/>
      <c r="E10" s="3"/>
      <c r="I10" s="46"/>
      <c r="J10" s="58"/>
      <c r="K10" s="28" t="s">
        <v>19</v>
      </c>
      <c r="L10" s="3"/>
      <c r="M10" s="3"/>
      <c r="N10" s="3"/>
      <c r="R10" s="46"/>
      <c r="T10" s="31" t="s">
        <v>128</v>
      </c>
      <c r="U10" s="32">
        <v>723</v>
      </c>
      <c r="V10" s="32">
        <v>773</v>
      </c>
      <c r="W10" s="32">
        <v>823</v>
      </c>
      <c r="X10" s="32">
        <v>873</v>
      </c>
      <c r="Y10" s="32">
        <v>923</v>
      </c>
      <c r="Z10" s="32">
        <v>973</v>
      </c>
      <c r="AA10" s="32">
        <v>1023</v>
      </c>
      <c r="AB10" s="32">
        <v>1073</v>
      </c>
      <c r="AC10" s="32">
        <v>1123</v>
      </c>
      <c r="AD10" s="32">
        <v>1173</v>
      </c>
      <c r="AE10" s="32">
        <v>1223</v>
      </c>
      <c r="AF10" s="32">
        <v>1273</v>
      </c>
    </row>
    <row r="11" spans="1:32" ht="15.75">
      <c r="A11" s="26" t="s">
        <v>137</v>
      </c>
      <c r="B11" t="s">
        <v>24</v>
      </c>
      <c r="C11" s="30">
        <v>2.5999999999999999E-2</v>
      </c>
      <c r="D11" t="s">
        <v>39</v>
      </c>
      <c r="E11" s="3"/>
      <c r="F11" s="34" t="s">
        <v>138</v>
      </c>
      <c r="G11" s="34">
        <f>C11*EXP(-C12/($C$1*$C$2))</f>
        <v>3.1073040820550677</v>
      </c>
      <c r="H11" t="s">
        <v>39</v>
      </c>
      <c r="I11" s="46"/>
      <c r="J11" s="59" t="s">
        <v>137</v>
      </c>
      <c r="K11" t="s">
        <v>24</v>
      </c>
      <c r="L11" s="30">
        <v>2.5999999999999999E-2</v>
      </c>
      <c r="M11" t="s">
        <v>39</v>
      </c>
      <c r="N11" s="3"/>
      <c r="O11" s="34" t="s">
        <v>138</v>
      </c>
      <c r="P11" s="34">
        <f>L11*EXP(-L12/($C$1*$C$2))</f>
        <v>0.45858473324939258</v>
      </c>
      <c r="Q11" t="s">
        <v>39</v>
      </c>
      <c r="R11" s="46"/>
      <c r="T11" s="71" t="s">
        <v>138</v>
      </c>
      <c r="U11" s="72">
        <f>$L11*EXP(-$L12/($C$1*U$10))</f>
        <v>1.5087497265121628</v>
      </c>
      <c r="V11" s="72">
        <f t="shared" ref="V11:Y11" si="0">$L11*EXP(-$L12/($C$1*V$10))</f>
        <v>1.1602172955356023</v>
      </c>
      <c r="W11" s="72">
        <f t="shared" si="0"/>
        <v>0.92113373864178683</v>
      </c>
      <c r="X11" s="72">
        <f t="shared" si="0"/>
        <v>0.75090606817116001</v>
      </c>
      <c r="Y11" s="72">
        <f t="shared" si="0"/>
        <v>0.62583885489185143</v>
      </c>
      <c r="Z11" s="72">
        <f t="shared" ref="Z11" si="1">$L11*EXP(-$L12/($C$1*Z$10))</f>
        <v>0.53146087826594268</v>
      </c>
      <c r="AA11" s="72">
        <f t="shared" ref="AA11" si="2">$L11*EXP(-$L12/($C$1*AA$10))</f>
        <v>0.45858473324939258</v>
      </c>
      <c r="AB11" s="72">
        <f t="shared" ref="AB11:AC11" si="3">$L11*EXP(-$L12/($C$1*AB$10))</f>
        <v>0.40117816586271926</v>
      </c>
      <c r="AC11" s="72">
        <f t="shared" si="3"/>
        <v>0.35516245614872444</v>
      </c>
      <c r="AD11" s="72">
        <f t="shared" ref="AD11" si="4">$L11*EXP(-$L12/($C$1*AD$10))</f>
        <v>0.31770751644042827</v>
      </c>
      <c r="AE11" s="72">
        <f t="shared" ref="AE11" si="5">$L11*EXP(-$L12/($C$1*AE$10))</f>
        <v>0.28680411241705345</v>
      </c>
      <c r="AF11" s="72">
        <f t="shared" ref="AF11" si="6">$L11*EXP(-$L12/($C$1*AF$10))</f>
        <v>0.26099632445433596</v>
      </c>
    </row>
    <row r="12" spans="1:32" ht="15.75">
      <c r="A12" s="26"/>
      <c r="B12" t="s">
        <v>22</v>
      </c>
      <c r="C12" s="33">
        <v>-40684</v>
      </c>
      <c r="D12" t="s">
        <v>15</v>
      </c>
      <c r="E12" s="3"/>
      <c r="F12" s="34"/>
      <c r="G12" s="34"/>
      <c r="I12" s="46"/>
      <c r="J12" s="59"/>
      <c r="K12" t="s">
        <v>22</v>
      </c>
      <c r="L12" s="33">
        <f>C12*0.6</f>
        <v>-24410.399999999998</v>
      </c>
      <c r="M12" t="s">
        <v>15</v>
      </c>
      <c r="N12" s="3"/>
      <c r="O12" s="34"/>
      <c r="P12" s="34"/>
      <c r="R12" s="46"/>
      <c r="T12" s="71" t="s">
        <v>143</v>
      </c>
      <c r="U12" s="72">
        <f t="shared" ref="U12:AF12" si="7">$L13*EXP(-$L14/($C$1*U$10))</f>
        <v>1.1178174319106293</v>
      </c>
      <c r="V12" s="72">
        <f t="shared" si="7"/>
        <v>0.87664866517813278</v>
      </c>
      <c r="W12" s="72">
        <f t="shared" si="7"/>
        <v>0.70811653130465591</v>
      </c>
      <c r="X12" s="72">
        <f t="shared" si="7"/>
        <v>0.58614468990977275</v>
      </c>
      <c r="Y12" s="72">
        <f t="shared" si="7"/>
        <v>0.49522189013905182</v>
      </c>
      <c r="Z12" s="72">
        <f t="shared" si="7"/>
        <v>0.42571452709941776</v>
      </c>
      <c r="AA12" s="72">
        <f t="shared" si="7"/>
        <v>0.37141340382368515</v>
      </c>
      <c r="AB12" s="72">
        <f t="shared" si="7"/>
        <v>0.32818565349552409</v>
      </c>
      <c r="AC12" s="72">
        <f t="shared" si="7"/>
        <v>0.29320193213692253</v>
      </c>
      <c r="AD12" s="72">
        <f t="shared" si="7"/>
        <v>0.26447666496275946</v>
      </c>
      <c r="AE12" s="72">
        <f t="shared" si="7"/>
        <v>0.24058543762439852</v>
      </c>
      <c r="AF12" s="72">
        <f t="shared" si="7"/>
        <v>0.22048615435672689</v>
      </c>
    </row>
    <row r="13" spans="1:32" ht="15.75">
      <c r="A13" s="26" t="s">
        <v>142</v>
      </c>
      <c r="B13" t="s">
        <v>25</v>
      </c>
      <c r="C13" s="30">
        <v>2.6100000000000002E-2</v>
      </c>
      <c r="D13" t="s">
        <v>39</v>
      </c>
      <c r="E13" s="3"/>
      <c r="F13" s="34" t="s">
        <v>143</v>
      </c>
      <c r="G13" s="34">
        <f>C13*EXP(-C14/($C$1*$C$2))</f>
        <v>2.1810667134799648</v>
      </c>
      <c r="H13" t="s">
        <v>39</v>
      </c>
      <c r="I13" s="46"/>
      <c r="J13" s="59" t="s">
        <v>142</v>
      </c>
      <c r="K13" t="s">
        <v>25</v>
      </c>
      <c r="L13" s="30">
        <v>2.6100000000000002E-2</v>
      </c>
      <c r="M13" t="s">
        <v>39</v>
      </c>
      <c r="N13" s="3"/>
      <c r="O13" s="34" t="s">
        <v>143</v>
      </c>
      <c r="P13" s="34">
        <f>L13*EXP(-L14/($C$1*$C$2))</f>
        <v>0.37141340382368515</v>
      </c>
      <c r="Q13" t="s">
        <v>39</v>
      </c>
      <c r="R13" s="46"/>
      <c r="T13" s="71" t="s">
        <v>146</v>
      </c>
      <c r="U13" s="72">
        <f t="shared" ref="U13:AF13" si="8">$L15*EXP(-$L16/($C$1*U$10))</f>
        <v>1.4705870222157097E-3</v>
      </c>
      <c r="V13" s="72">
        <f t="shared" si="8"/>
        <v>1.0648558258131503E-3</v>
      </c>
      <c r="W13" s="72">
        <f t="shared" si="8"/>
        <v>8.0191090689862442E-4</v>
      </c>
      <c r="X13" s="72">
        <f t="shared" si="8"/>
        <v>6.2383486291856677E-4</v>
      </c>
      <c r="Y13" s="72">
        <f t="shared" si="8"/>
        <v>4.9868763414729006E-4</v>
      </c>
      <c r="Z13" s="72">
        <f t="shared" si="8"/>
        <v>4.0792610396552339E-4</v>
      </c>
      <c r="AA13" s="72">
        <f t="shared" si="8"/>
        <v>3.4030078370539277E-4</v>
      </c>
      <c r="AB13" s="72">
        <f t="shared" si="8"/>
        <v>2.8872255055298183E-4</v>
      </c>
      <c r="AC13" s="72">
        <f t="shared" si="8"/>
        <v>2.4857351323110533E-4</v>
      </c>
      <c r="AD13" s="72">
        <f t="shared" si="8"/>
        <v>2.1675670801006981E-4</v>
      </c>
      <c r="AE13" s="72">
        <f t="shared" si="8"/>
        <v>1.9114101220324878E-4</v>
      </c>
      <c r="AF13" s="72">
        <f t="shared" si="8"/>
        <v>1.7022594884548415E-4</v>
      </c>
    </row>
    <row r="14" spans="1:32" ht="15.75">
      <c r="A14" s="26"/>
      <c r="B14" t="s">
        <v>23</v>
      </c>
      <c r="C14" s="33">
        <v>-37641</v>
      </c>
      <c r="D14" t="s">
        <v>15</v>
      </c>
      <c r="E14" s="3"/>
      <c r="F14" s="34"/>
      <c r="G14" s="34"/>
      <c r="I14" s="46"/>
      <c r="J14" s="59"/>
      <c r="K14" t="s">
        <v>23</v>
      </c>
      <c r="L14" s="33">
        <f>C14*0.6</f>
        <v>-22584.6</v>
      </c>
      <c r="M14" t="s">
        <v>15</v>
      </c>
      <c r="N14" s="3"/>
      <c r="O14" s="34"/>
      <c r="P14" s="34"/>
      <c r="R14" s="46"/>
      <c r="T14" s="71" t="s">
        <v>147</v>
      </c>
      <c r="U14" s="72">
        <f t="shared" ref="U14:AF14" si="9">$L17*EXP(-$L18/($C$1*U$10))</f>
        <v>3.9254772047904767E-5</v>
      </c>
      <c r="V14" s="72">
        <f t="shared" si="9"/>
        <v>3.593169315444519E-5</v>
      </c>
      <c r="W14" s="72">
        <f t="shared" si="9"/>
        <v>3.3245323017715119E-5</v>
      </c>
      <c r="X14" s="72">
        <f t="shared" si="9"/>
        <v>3.1034809348508868E-5</v>
      </c>
      <c r="Y14" s="72">
        <f t="shared" si="9"/>
        <v>2.9188046952241488E-5</v>
      </c>
      <c r="Z14" s="72">
        <f t="shared" si="9"/>
        <v>2.7624811949237583E-5</v>
      </c>
      <c r="AA14" s="72">
        <f t="shared" si="9"/>
        <v>2.6286359800067319E-5</v>
      </c>
      <c r="AB14" s="72">
        <f t="shared" si="9"/>
        <v>2.5128797889858798E-5</v>
      </c>
      <c r="AC14" s="72">
        <f t="shared" si="9"/>
        <v>2.411874073218418E-5</v>
      </c>
      <c r="AD14" s="72">
        <f t="shared" si="9"/>
        <v>2.323038875921803E-5</v>
      </c>
      <c r="AE14" s="72">
        <f t="shared" si="9"/>
        <v>2.2443519569559853E-5</v>
      </c>
      <c r="AF14" s="72">
        <f t="shared" si="9"/>
        <v>2.1742078490000323E-5</v>
      </c>
    </row>
    <row r="15" spans="1:32" ht="15.75">
      <c r="A15" s="26" t="s">
        <v>145</v>
      </c>
      <c r="B15" t="s">
        <v>27</v>
      </c>
      <c r="C15" s="30">
        <v>1.494</v>
      </c>
      <c r="D15" t="s">
        <v>39</v>
      </c>
      <c r="E15" s="3"/>
      <c r="F15" s="34" t="s">
        <v>146</v>
      </c>
      <c r="G15" s="34">
        <f>C15*EXP(-C16/($C$1*$C$2))</f>
        <v>3.0338893664263815</v>
      </c>
      <c r="H15" t="s">
        <v>39</v>
      </c>
      <c r="I15" s="46"/>
      <c r="J15" s="59" t="s">
        <v>145</v>
      </c>
      <c r="K15" t="s">
        <v>27</v>
      </c>
      <c r="L15" s="30">
        <v>1.0000000000000001E-5</v>
      </c>
      <c r="M15" t="s">
        <v>39</v>
      </c>
      <c r="N15" s="3"/>
      <c r="O15" s="34" t="s">
        <v>146</v>
      </c>
      <c r="P15" s="34">
        <f>L15*EXP(-L16/($C$1*$C$2))</f>
        <v>3.4030078370539277E-4</v>
      </c>
      <c r="Q15" t="s">
        <v>39</v>
      </c>
      <c r="R15" s="46"/>
      <c r="T15" s="71" t="s">
        <v>149</v>
      </c>
      <c r="U15" s="72">
        <f t="shared" ref="U15:AF15" si="10">$L19*EXP(-$L20/($C$1*U$10))</f>
        <v>8.1878996680759E-2</v>
      </c>
      <c r="V15" s="72">
        <f t="shared" si="10"/>
        <v>4.3553753925099026E-2</v>
      </c>
      <c r="W15" s="72">
        <f t="shared" si="10"/>
        <v>2.5014357741631948E-2</v>
      </c>
      <c r="X15" s="72">
        <f t="shared" si="10"/>
        <v>1.5308770692865379E-2</v>
      </c>
      <c r="Y15" s="72">
        <f t="shared" si="10"/>
        <v>9.8808699604728319E-3</v>
      </c>
      <c r="Z15" s="72">
        <f t="shared" si="10"/>
        <v>6.6710193599064348E-3</v>
      </c>
      <c r="AA15" s="72">
        <f t="shared" si="10"/>
        <v>4.6802165901676787E-3</v>
      </c>
      <c r="AB15" s="72">
        <f t="shared" si="10"/>
        <v>3.3937911471261105E-3</v>
      </c>
      <c r="AC15" s="72">
        <f t="shared" si="10"/>
        <v>2.5324072919793356E-3</v>
      </c>
      <c r="AD15" s="72">
        <f t="shared" si="10"/>
        <v>1.937411433012652E-3</v>
      </c>
      <c r="AE15" s="72">
        <f t="shared" si="10"/>
        <v>1.5150275162748158E-3</v>
      </c>
      <c r="AF15" s="72">
        <f t="shared" si="10"/>
        <v>1.207838639772898E-3</v>
      </c>
    </row>
    <row r="16" spans="1:32" ht="15.75">
      <c r="A16" s="26"/>
      <c r="B16" t="s">
        <v>26</v>
      </c>
      <c r="C16" s="33">
        <v>-6025</v>
      </c>
      <c r="D16" t="s">
        <v>15</v>
      </c>
      <c r="E16" s="3"/>
      <c r="F16" s="34"/>
      <c r="G16" s="34"/>
      <c r="I16" s="46"/>
      <c r="J16" s="59"/>
      <c r="K16" t="s">
        <v>26</v>
      </c>
      <c r="L16" s="63">
        <v>-30000</v>
      </c>
      <c r="M16" t="s">
        <v>15</v>
      </c>
      <c r="N16" s="3"/>
      <c r="O16" s="34"/>
      <c r="P16" s="34"/>
      <c r="R16" s="46"/>
      <c r="U16" s="73"/>
      <c r="V16" s="73"/>
      <c r="W16" s="73"/>
      <c r="X16" s="73"/>
      <c r="Y16" s="73"/>
      <c r="Z16" s="73"/>
      <c r="AA16" s="73"/>
      <c r="AB16" s="73"/>
      <c r="AC16" s="73"/>
      <c r="AD16" s="73"/>
      <c r="AE16" s="73"/>
      <c r="AF16" s="73"/>
    </row>
    <row r="17" spans="1:19" ht="15.75">
      <c r="A17" s="26" t="s">
        <v>142</v>
      </c>
      <c r="B17" t="s">
        <v>37</v>
      </c>
      <c r="C17" s="30">
        <v>7.34E-6</v>
      </c>
      <c r="D17" t="s">
        <v>39</v>
      </c>
      <c r="E17" s="3"/>
      <c r="F17" s="34" t="s">
        <v>147</v>
      </c>
      <c r="G17" s="34">
        <f>C17*EXP(-C18/($C$1*$C$2))</f>
        <v>0.9819184483104606</v>
      </c>
      <c r="H17" t="s">
        <v>39</v>
      </c>
      <c r="I17" s="46"/>
      <c r="J17" s="59" t="s">
        <v>142</v>
      </c>
      <c r="K17" t="s">
        <v>37</v>
      </c>
      <c r="L17" s="196">
        <v>1.0000000000000001E-5</v>
      </c>
      <c r="M17" t="s">
        <v>39</v>
      </c>
      <c r="N17" s="3"/>
      <c r="O17" s="34" t="s">
        <v>147</v>
      </c>
      <c r="P17" s="34">
        <f>L17*EXP(-L18/($C$1*$C$2))</f>
        <v>2.6286359800067319E-5</v>
      </c>
      <c r="Q17" t="s">
        <v>39</v>
      </c>
      <c r="R17" s="46"/>
    </row>
    <row r="18" spans="1:19" ht="15.75">
      <c r="A18" s="26"/>
      <c r="B18" t="s">
        <v>29</v>
      </c>
      <c r="C18" s="33">
        <v>-100395</v>
      </c>
      <c r="D18" t="s">
        <v>15</v>
      </c>
      <c r="E18" s="3"/>
      <c r="F18" s="34"/>
      <c r="G18" s="34"/>
      <c r="I18" s="46"/>
      <c r="J18" s="59"/>
      <c r="K18" t="s">
        <v>29</v>
      </c>
      <c r="L18" s="63">
        <v>-8220</v>
      </c>
      <c r="M18" t="s">
        <v>15</v>
      </c>
      <c r="N18" s="3"/>
      <c r="O18" s="34"/>
      <c r="P18" s="34"/>
      <c r="R18" s="46"/>
    </row>
    <row r="19" spans="1:19" ht="15.75">
      <c r="A19" s="26" t="s">
        <v>148</v>
      </c>
      <c r="B19" t="s">
        <v>38</v>
      </c>
      <c r="C19" s="30">
        <v>4.7299999999999996E-6</v>
      </c>
      <c r="D19" t="s">
        <v>39</v>
      </c>
      <c r="E19" s="3"/>
      <c r="F19" s="34" t="s">
        <v>149</v>
      </c>
      <c r="G19" s="34">
        <f>C19*EXP(-C20/($C$1*$C$2))</f>
        <v>0.46473190874957482</v>
      </c>
      <c r="H19" t="s">
        <v>39</v>
      </c>
      <c r="I19" s="46"/>
      <c r="J19" s="59" t="s">
        <v>148</v>
      </c>
      <c r="K19" t="s">
        <v>38</v>
      </c>
      <c r="L19" s="30">
        <v>4.7299999999999996E-6</v>
      </c>
      <c r="M19" t="s">
        <v>39</v>
      </c>
      <c r="N19" s="3"/>
      <c r="O19" s="34" t="s">
        <v>149</v>
      </c>
      <c r="P19" s="34">
        <f>L19*EXP(-L20/($C$1*$C$2))</f>
        <v>4.6802165901676787E-3</v>
      </c>
      <c r="Q19" t="s">
        <v>39</v>
      </c>
      <c r="R19" s="46"/>
    </row>
    <row r="20" spans="1:19">
      <c r="A20" s="12"/>
      <c r="B20" t="s">
        <v>30</v>
      </c>
      <c r="C20" s="33">
        <v>-97770</v>
      </c>
      <c r="D20" t="s">
        <v>15</v>
      </c>
      <c r="E20" s="3"/>
      <c r="I20" s="46"/>
      <c r="J20" s="69"/>
      <c r="K20" t="s">
        <v>30</v>
      </c>
      <c r="L20" s="33">
        <f>C20*0.6</f>
        <v>-58662</v>
      </c>
      <c r="M20" t="s">
        <v>15</v>
      </c>
      <c r="N20" s="3"/>
      <c r="R20" s="46"/>
    </row>
    <row r="21" spans="1:19" ht="15">
      <c r="A21" s="3"/>
      <c r="B21" s="28" t="s">
        <v>31</v>
      </c>
      <c r="C21" s="3"/>
      <c r="D21" s="3"/>
      <c r="E21" s="3"/>
      <c r="I21" s="46"/>
      <c r="J21" s="58"/>
      <c r="K21" s="28" t="s">
        <v>31</v>
      </c>
      <c r="L21" s="3"/>
      <c r="M21" s="3"/>
      <c r="N21" s="3"/>
      <c r="R21" s="46"/>
    </row>
    <row r="22" spans="1:19" ht="15.75">
      <c r="A22" s="3"/>
      <c r="B22" t="s">
        <v>42</v>
      </c>
      <c r="C22" s="30">
        <v>678000000000000</v>
      </c>
      <c r="E22" s="3"/>
      <c r="F22" s="34" t="s">
        <v>195</v>
      </c>
      <c r="G22" s="34">
        <f>C22*EXP(-C23/($C$1*$C$2))</f>
        <v>37.363301718729538</v>
      </c>
      <c r="I22" s="46"/>
      <c r="J22" s="58"/>
      <c r="K22" t="s">
        <v>42</v>
      </c>
      <c r="L22" s="30">
        <v>678000000000000</v>
      </c>
      <c r="N22" s="3"/>
      <c r="O22" s="34" t="s">
        <v>195</v>
      </c>
      <c r="P22" s="34">
        <f>L22*EXP(-L23/($C$1*$C$2))</f>
        <v>37.363301718729538</v>
      </c>
      <c r="R22" s="46"/>
    </row>
    <row r="23" spans="1:19">
      <c r="A23" s="3"/>
      <c r="B23" t="s">
        <v>43</v>
      </c>
      <c r="C23" s="33">
        <v>259660</v>
      </c>
      <c r="E23" s="3"/>
      <c r="I23" s="46"/>
      <c r="J23" s="58"/>
      <c r="K23" t="s">
        <v>43</v>
      </c>
      <c r="L23" s="33">
        <v>259660</v>
      </c>
      <c r="N23" s="3"/>
      <c r="R23" s="46"/>
    </row>
    <row r="24" spans="1:19" ht="15.75">
      <c r="A24" s="3"/>
      <c r="B24" t="s">
        <v>44</v>
      </c>
      <c r="C24" s="33">
        <v>54.497100000000003</v>
      </c>
      <c r="E24" s="3"/>
      <c r="F24" s="34" t="s">
        <v>196</v>
      </c>
      <c r="G24" s="34">
        <f>C24*EXP(-C25/($C$1*$C$2))</f>
        <v>0.73879140840167223</v>
      </c>
      <c r="I24" s="46"/>
      <c r="J24" s="58"/>
      <c r="K24" t="s">
        <v>44</v>
      </c>
      <c r="L24" s="33">
        <v>56.497100000000003</v>
      </c>
      <c r="N24" s="3"/>
      <c r="O24" s="34" t="s">
        <v>196</v>
      </c>
      <c r="P24" s="34">
        <f>L24*EXP(-L25/($C$1*$C$2))</f>
        <v>0.76590446243213162</v>
      </c>
      <c r="R24" s="46"/>
    </row>
    <row r="25" spans="1:19">
      <c r="A25" s="3"/>
      <c r="B25" t="s">
        <v>45</v>
      </c>
      <c r="C25" s="33">
        <v>36580</v>
      </c>
      <c r="E25" s="3"/>
      <c r="I25" s="46"/>
      <c r="J25" s="58"/>
      <c r="K25" t="s">
        <v>45</v>
      </c>
      <c r="L25" s="33">
        <v>36580</v>
      </c>
      <c r="N25" s="3"/>
      <c r="R25" s="46"/>
    </row>
    <row r="26" spans="1:19" ht="15.75" thickBot="1">
      <c r="A26" s="3"/>
      <c r="B26" s="28"/>
      <c r="C26" s="3"/>
      <c r="D26" s="3"/>
      <c r="E26" s="3"/>
      <c r="F26" s="3"/>
      <c r="G26" s="3"/>
      <c r="H26" s="3"/>
      <c r="I26" s="46"/>
      <c r="J26" s="60"/>
      <c r="K26" s="70"/>
      <c r="L26" s="61"/>
      <c r="M26" s="61"/>
      <c r="N26" s="61"/>
      <c r="O26" s="61"/>
      <c r="P26" s="61"/>
      <c r="Q26" s="61"/>
      <c r="R26" s="62"/>
    </row>
    <row r="27" spans="1:19" ht="15.75" thickBot="1">
      <c r="A27" s="318" t="s">
        <v>199</v>
      </c>
      <c r="B27" s="319"/>
      <c r="C27" s="319"/>
      <c r="D27" s="319"/>
      <c r="E27" s="319"/>
      <c r="F27" s="319"/>
      <c r="G27" s="319"/>
      <c r="H27" s="319"/>
      <c r="I27" s="319"/>
      <c r="J27" s="319"/>
      <c r="K27" s="319"/>
      <c r="L27" s="319"/>
      <c r="M27" s="319"/>
      <c r="N27" s="319"/>
      <c r="O27" s="319"/>
      <c r="P27" s="319"/>
      <c r="Q27" s="319"/>
      <c r="R27" s="320"/>
    </row>
    <row r="28" spans="1:19" ht="15.75" thickBot="1">
      <c r="A28" s="318" t="s">
        <v>169</v>
      </c>
      <c r="B28" s="319"/>
      <c r="C28" s="319"/>
      <c r="D28" s="319"/>
      <c r="E28" s="319"/>
      <c r="F28" s="319"/>
      <c r="G28" s="319"/>
      <c r="H28" s="319"/>
      <c r="I28" s="320"/>
      <c r="J28" s="318" t="s">
        <v>170</v>
      </c>
      <c r="K28" s="319"/>
      <c r="L28" s="319"/>
      <c r="M28" s="319"/>
      <c r="N28" s="319"/>
      <c r="O28" s="319"/>
      <c r="P28" s="319"/>
      <c r="Q28" s="319"/>
      <c r="R28" s="320"/>
    </row>
    <row r="29" spans="1:19" ht="15.75">
      <c r="A29" s="55"/>
      <c r="B29" s="56" t="s">
        <v>10</v>
      </c>
      <c r="C29" s="57"/>
      <c r="D29" s="57"/>
      <c r="E29" s="57"/>
      <c r="F29" s="321" t="s">
        <v>123</v>
      </c>
      <c r="G29" s="321"/>
      <c r="H29" s="321"/>
      <c r="I29" s="45"/>
      <c r="J29" s="55"/>
      <c r="K29" s="56" t="s">
        <v>10</v>
      </c>
      <c r="L29" s="57"/>
      <c r="M29" s="57"/>
      <c r="N29" s="57"/>
      <c r="O29" s="321" t="s">
        <v>123</v>
      </c>
      <c r="P29" s="321"/>
      <c r="Q29" s="321"/>
      <c r="R29" s="45"/>
    </row>
    <row r="30" spans="1:19" ht="15.75">
      <c r="A30" s="58"/>
      <c r="B30" t="s">
        <v>46</v>
      </c>
      <c r="C30" s="30">
        <v>6950</v>
      </c>
      <c r="D30" t="s">
        <v>13</v>
      </c>
      <c r="E30" s="3"/>
      <c r="F30" s="34" t="s">
        <v>50</v>
      </c>
      <c r="G30" s="34">
        <f>C30*EXP(-C31/($C$1*$C$2))</f>
        <v>6.8357260399631317</v>
      </c>
      <c r="I30" s="46"/>
      <c r="J30" s="58"/>
      <c r="K30" t="s">
        <v>46</v>
      </c>
      <c r="L30" s="30">
        <v>6950</v>
      </c>
      <c r="M30" t="s">
        <v>13</v>
      </c>
      <c r="N30" s="3"/>
      <c r="O30" s="34" t="s">
        <v>50</v>
      </c>
      <c r="P30" s="34">
        <f>L30*EXP(-L31/($C$1*$C$2))</f>
        <v>9.7416850503122225E-5</v>
      </c>
      <c r="R30" s="46"/>
      <c r="S30" s="30">
        <v>0.08</v>
      </c>
    </row>
    <row r="31" spans="1:19">
      <c r="A31" s="58"/>
      <c r="B31" t="s">
        <v>47</v>
      </c>
      <c r="C31" s="33">
        <v>58893</v>
      </c>
      <c r="D31" t="s">
        <v>15</v>
      </c>
      <c r="E31" s="3"/>
      <c r="I31" s="46"/>
      <c r="J31" s="58"/>
      <c r="K31" t="s">
        <v>47</v>
      </c>
      <c r="L31" s="63">
        <v>153800</v>
      </c>
      <c r="M31" t="s">
        <v>15</v>
      </c>
      <c r="N31" s="3"/>
      <c r="R31" s="46"/>
      <c r="S31" s="33">
        <v>240000</v>
      </c>
    </row>
    <row r="32" spans="1:19" ht="15.75">
      <c r="A32" s="58"/>
      <c r="B32" t="s">
        <v>182</v>
      </c>
      <c r="C32" s="33">
        <v>1340000000000000</v>
      </c>
      <c r="D32" t="s">
        <v>13</v>
      </c>
      <c r="E32" s="3"/>
      <c r="F32" s="34" t="s">
        <v>188</v>
      </c>
      <c r="G32" s="34">
        <f>C32*EXP(-C33/($C$1*$C$2))</f>
        <v>474.65499686362091</v>
      </c>
      <c r="I32" s="46"/>
      <c r="J32" s="58"/>
      <c r="K32" t="s">
        <v>182</v>
      </c>
      <c r="L32" s="33">
        <v>1340000000000000</v>
      </c>
      <c r="M32" t="s">
        <v>13</v>
      </c>
      <c r="N32" s="3"/>
      <c r="O32" s="34" t="s">
        <v>188</v>
      </c>
      <c r="P32" s="34">
        <f>L32*EXP(-L33/($C$1*$C$2))</f>
        <v>2.537879810880574E-8</v>
      </c>
      <c r="R32" s="46"/>
      <c r="S32" s="30">
        <v>500000</v>
      </c>
    </row>
    <row r="33" spans="1:19">
      <c r="A33" s="58"/>
      <c r="B33" t="s">
        <v>181</v>
      </c>
      <c r="C33" s="33">
        <v>243835</v>
      </c>
      <c r="D33" t="s">
        <v>15</v>
      </c>
      <c r="E33" s="3"/>
      <c r="I33" s="46"/>
      <c r="J33" s="58"/>
      <c r="K33" t="s">
        <v>181</v>
      </c>
      <c r="L33" s="63">
        <v>445000</v>
      </c>
      <c r="M33" t="s">
        <v>15</v>
      </c>
      <c r="N33" s="3"/>
      <c r="R33" s="46"/>
      <c r="S33" s="33">
        <v>175000</v>
      </c>
    </row>
    <row r="34" spans="1:19">
      <c r="A34" s="58"/>
      <c r="B34" t="s">
        <v>179</v>
      </c>
      <c r="C34" s="30">
        <v>5550000000</v>
      </c>
      <c r="D34" t="s">
        <v>13</v>
      </c>
      <c r="E34" s="3"/>
      <c r="I34" s="46"/>
      <c r="J34" s="58"/>
      <c r="K34" t="s">
        <v>179</v>
      </c>
      <c r="L34" s="30">
        <v>5550000000</v>
      </c>
      <c r="M34" t="s">
        <v>13</v>
      </c>
      <c r="N34" s="3"/>
      <c r="R34" s="46"/>
      <c r="S34" s="30">
        <v>5550000000</v>
      </c>
    </row>
    <row r="35" spans="1:19">
      <c r="A35" s="58"/>
      <c r="B35" t="s">
        <v>180</v>
      </c>
      <c r="C35" s="33">
        <v>166397</v>
      </c>
      <c r="D35" t="s">
        <v>15</v>
      </c>
      <c r="E35" s="3"/>
      <c r="I35" s="46"/>
      <c r="J35" s="58"/>
      <c r="K35" t="s">
        <v>180</v>
      </c>
      <c r="L35" s="33">
        <v>166397</v>
      </c>
      <c r="M35" t="s">
        <v>15</v>
      </c>
      <c r="N35" s="3"/>
      <c r="R35" s="46"/>
      <c r="S35" s="33">
        <v>166397</v>
      </c>
    </row>
    <row r="36" spans="1:19" ht="15.75">
      <c r="A36" s="58"/>
      <c r="B36" s="28" t="s">
        <v>19</v>
      </c>
      <c r="C36" s="3"/>
      <c r="D36" s="3"/>
      <c r="E36" s="3"/>
      <c r="F36" s="34"/>
      <c r="G36" s="34"/>
      <c r="I36" s="46"/>
      <c r="J36" s="58"/>
      <c r="K36" s="28" t="s">
        <v>19</v>
      </c>
      <c r="L36" s="3"/>
      <c r="M36" s="3"/>
      <c r="N36" s="3"/>
      <c r="O36" s="34"/>
      <c r="P36" s="34"/>
      <c r="R36" s="46"/>
    </row>
    <row r="37" spans="1:19" ht="15.75">
      <c r="A37" s="59" t="s">
        <v>190</v>
      </c>
      <c r="B37" t="s">
        <v>191</v>
      </c>
      <c r="C37" s="33"/>
      <c r="D37" t="s">
        <v>39</v>
      </c>
      <c r="E37" s="3"/>
      <c r="F37" s="34" t="s">
        <v>191</v>
      </c>
      <c r="G37" s="34">
        <f>C37*EXP(-C38/($C$1*$C$2))</f>
        <v>0</v>
      </c>
      <c r="H37" t="s">
        <v>39</v>
      </c>
      <c r="I37" s="46"/>
      <c r="J37" s="59" t="s">
        <v>190</v>
      </c>
      <c r="K37" t="s">
        <v>191</v>
      </c>
      <c r="L37" s="33"/>
      <c r="M37" t="s">
        <v>39</v>
      </c>
      <c r="N37" s="3"/>
      <c r="O37" s="34" t="s">
        <v>191</v>
      </c>
      <c r="P37" s="34">
        <f>L37*EXP(-L38/($C$1*$C$2))</f>
        <v>0</v>
      </c>
      <c r="Q37" t="s">
        <v>39</v>
      </c>
      <c r="R37" s="46"/>
    </row>
    <row r="38" spans="1:19" ht="15.75">
      <c r="A38" s="59"/>
      <c r="B38" t="s">
        <v>192</v>
      </c>
      <c r="C38" s="33"/>
      <c r="D38" t="s">
        <v>15</v>
      </c>
      <c r="E38" s="3"/>
      <c r="F38" s="34"/>
      <c r="G38" s="34"/>
      <c r="I38" s="46"/>
      <c r="J38" s="59"/>
      <c r="K38" t="s">
        <v>192</v>
      </c>
      <c r="L38" s="33"/>
      <c r="M38" t="s">
        <v>15</v>
      </c>
      <c r="N38" s="3"/>
      <c r="O38" s="34"/>
      <c r="P38" s="34"/>
      <c r="R38" s="46"/>
    </row>
    <row r="39" spans="1:19" ht="15.75">
      <c r="A39" s="58"/>
      <c r="B39" s="28" t="s">
        <v>31</v>
      </c>
      <c r="C39" s="4"/>
      <c r="D39" s="4"/>
      <c r="E39" s="3"/>
      <c r="F39" s="34"/>
      <c r="G39" s="34"/>
      <c r="I39" s="46"/>
      <c r="J39" s="58"/>
      <c r="K39" s="28" t="s">
        <v>31</v>
      </c>
      <c r="L39" s="4"/>
      <c r="M39" s="4"/>
      <c r="N39" s="3"/>
      <c r="O39" s="34"/>
      <c r="P39" s="34"/>
      <c r="R39" s="46"/>
    </row>
    <row r="40" spans="1:19" ht="15.75">
      <c r="A40" s="58"/>
      <c r="B40" t="s">
        <v>183</v>
      </c>
      <c r="C40" s="30">
        <v>2.9799999999999999E-5</v>
      </c>
      <c r="E40" s="3"/>
      <c r="F40" s="34" t="s">
        <v>185</v>
      </c>
      <c r="G40" s="34">
        <f>C40*EXP(-C41/($C$1*$C$2))</f>
        <v>1.4538937943995307E-9</v>
      </c>
      <c r="I40" s="46"/>
      <c r="J40" s="58"/>
      <c r="K40" t="s">
        <v>183</v>
      </c>
      <c r="L40" s="30">
        <v>298000</v>
      </c>
      <c r="N40" s="3"/>
      <c r="O40" s="34" t="s">
        <v>185</v>
      </c>
      <c r="P40" s="34">
        <f>L40*EXP(-L41/($C$1*$C$2))</f>
        <v>14.538937943995306</v>
      </c>
      <c r="R40" s="46"/>
      <c r="S40" s="30">
        <v>298000</v>
      </c>
    </row>
    <row r="41" spans="1:19">
      <c r="A41" s="58"/>
      <c r="B41" t="s">
        <v>184</v>
      </c>
      <c r="C41" s="33">
        <v>84440</v>
      </c>
      <c r="E41" s="3"/>
      <c r="I41" s="46"/>
      <c r="J41" s="58"/>
      <c r="K41" t="s">
        <v>184</v>
      </c>
      <c r="L41" s="33">
        <v>84440</v>
      </c>
      <c r="N41" s="3"/>
      <c r="R41" s="46"/>
      <c r="S41" s="33">
        <v>84440</v>
      </c>
    </row>
    <row r="42" spans="1:19" ht="15.75">
      <c r="A42" s="58"/>
      <c r="B42" t="s">
        <v>186</v>
      </c>
      <c r="C42" s="30">
        <v>1930000000</v>
      </c>
      <c r="E42" s="3"/>
      <c r="F42" s="34" t="s">
        <v>189</v>
      </c>
      <c r="G42" s="34">
        <f>C42*EXP(-C43/($C$1*$C$2))</f>
        <v>4.7886717379081274</v>
      </c>
      <c r="I42" s="46"/>
      <c r="J42" s="58"/>
      <c r="K42" t="s">
        <v>186</v>
      </c>
      <c r="L42" s="30">
        <v>1930000000</v>
      </c>
      <c r="N42" s="3"/>
      <c r="O42" s="34" t="s">
        <v>189</v>
      </c>
      <c r="P42" s="34">
        <f>L42*EXP(-L43/($C$1*$C$2))</f>
        <v>4.7886717379081274</v>
      </c>
      <c r="R42" s="46"/>
      <c r="S42" s="30">
        <v>1930000000</v>
      </c>
    </row>
    <row r="43" spans="1:19">
      <c r="A43" s="58"/>
      <c r="B43" t="s">
        <v>187</v>
      </c>
      <c r="C43" s="33">
        <v>168527</v>
      </c>
      <c r="E43" s="3"/>
      <c r="I43" s="46"/>
      <c r="J43" s="58"/>
      <c r="K43" t="s">
        <v>187</v>
      </c>
      <c r="L43" s="33">
        <v>168527</v>
      </c>
      <c r="N43" s="3"/>
      <c r="R43" s="46"/>
      <c r="S43" s="33">
        <v>168527</v>
      </c>
    </row>
    <row r="44" spans="1:19">
      <c r="A44" s="58"/>
      <c r="B44" t="s">
        <v>255</v>
      </c>
      <c r="C44" s="30">
        <v>13827000</v>
      </c>
      <c r="E44" s="3"/>
      <c r="I44" s="46"/>
      <c r="J44" s="58"/>
      <c r="L44" s="30">
        <v>13827000</v>
      </c>
      <c r="N44" s="3"/>
      <c r="R44" s="46"/>
      <c r="S44" s="30">
        <v>13827000</v>
      </c>
    </row>
    <row r="45" spans="1:19">
      <c r="A45" s="58"/>
      <c r="B45" t="s">
        <v>197</v>
      </c>
      <c r="C45" s="153">
        <v>125916</v>
      </c>
      <c r="E45" s="3"/>
      <c r="I45" s="46"/>
      <c r="J45" s="58"/>
      <c r="L45" s="153">
        <v>125916</v>
      </c>
      <c r="N45" s="3"/>
      <c r="R45" s="46"/>
      <c r="S45" s="153">
        <v>125916</v>
      </c>
    </row>
    <row r="46" spans="1:19" ht="15" thickBot="1">
      <c r="A46" s="60"/>
      <c r="B46" s="61"/>
      <c r="C46" s="61"/>
      <c r="D46" s="61"/>
      <c r="E46" s="61"/>
      <c r="F46" s="61"/>
      <c r="G46" s="61"/>
      <c r="H46" s="61"/>
      <c r="I46" s="62"/>
      <c r="J46" s="60"/>
      <c r="K46" s="61"/>
      <c r="L46" s="61"/>
      <c r="M46" s="61"/>
      <c r="N46" s="61"/>
      <c r="O46" s="61"/>
      <c r="P46" s="61"/>
      <c r="Q46" s="61"/>
      <c r="R46" s="62"/>
    </row>
  </sheetData>
  <mergeCells count="10">
    <mergeCell ref="A3:R3"/>
    <mergeCell ref="F29:H29"/>
    <mergeCell ref="O29:Q29"/>
    <mergeCell ref="F5:H5"/>
    <mergeCell ref="A4:I4"/>
    <mergeCell ref="J4:R4"/>
    <mergeCell ref="O5:Q5"/>
    <mergeCell ref="A28:I28"/>
    <mergeCell ref="J28:R28"/>
    <mergeCell ref="A27:R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CC824-0ED4-4BB4-850A-89CCF968D886}">
  <dimension ref="A1:G21"/>
  <sheetViews>
    <sheetView workbookViewId="0">
      <selection activeCell="B1" sqref="B1"/>
    </sheetView>
  </sheetViews>
  <sheetFormatPr baseColWidth="10" defaultRowHeight="14.25"/>
  <sheetData>
    <row r="1" spans="1:7" ht="15">
      <c r="A1" s="15" t="s">
        <v>309</v>
      </c>
      <c r="B1" s="116">
        <v>0.6</v>
      </c>
    </row>
    <row r="2" spans="1:7" ht="15">
      <c r="A2" s="15" t="s">
        <v>310</v>
      </c>
      <c r="B2" s="116">
        <v>0.5</v>
      </c>
    </row>
    <row r="7" spans="1:7" ht="15">
      <c r="A7" s="15" t="s">
        <v>270</v>
      </c>
    </row>
    <row r="8" spans="1:7" ht="15">
      <c r="A8" s="15" t="s">
        <v>311</v>
      </c>
      <c r="B8" s="15" t="s">
        <v>312</v>
      </c>
      <c r="C8" s="15" t="s">
        <v>197</v>
      </c>
      <c r="D8" s="15" t="s">
        <v>313</v>
      </c>
      <c r="E8" s="15" t="s">
        <v>314</v>
      </c>
      <c r="F8" s="15" t="s">
        <v>315</v>
      </c>
    </row>
    <row r="9" spans="1:7" ht="15">
      <c r="A9" s="12"/>
      <c r="B9" s="116">
        <v>-35</v>
      </c>
      <c r="C9" s="116">
        <v>439.6</v>
      </c>
      <c r="D9">
        <f>C9+$B$1*(B9-C9)</f>
        <v>154.84000000000003</v>
      </c>
      <c r="E9">
        <f>D9-B9</f>
        <v>189.84000000000003</v>
      </c>
      <c r="F9" s="68">
        <f>('Domain-Shift'!C7)/1000+$B$2*E9</f>
        <v>196.98500000000001</v>
      </c>
      <c r="G9" s="9" t="s">
        <v>316</v>
      </c>
    </row>
    <row r="11" spans="1:7" ht="15">
      <c r="A11" s="15" t="s">
        <v>273</v>
      </c>
    </row>
    <row r="12" spans="1:7" ht="15">
      <c r="A12" s="15" t="s">
        <v>317</v>
      </c>
      <c r="B12" s="15" t="s">
        <v>312</v>
      </c>
      <c r="C12" s="15" t="s">
        <v>197</v>
      </c>
      <c r="D12" s="15" t="s">
        <v>313</v>
      </c>
      <c r="E12" s="15" t="s">
        <v>314</v>
      </c>
      <c r="F12" s="15" t="s">
        <v>315</v>
      </c>
    </row>
    <row r="13" spans="1:7" ht="15">
      <c r="A13" s="12"/>
      <c r="B13" s="116">
        <v>-38</v>
      </c>
      <c r="C13" s="116">
        <v>43.8</v>
      </c>
      <c r="D13">
        <f>C13+$B$1*(B13-C13)</f>
        <v>-5.2800000000000011</v>
      </c>
      <c r="E13">
        <f>D13-B13</f>
        <v>32.72</v>
      </c>
      <c r="F13" s="68">
        <f>('Domain-Shift'!C9)/1000+$B$2*E13</f>
        <v>97.39</v>
      </c>
      <c r="G13" s="9" t="s">
        <v>316</v>
      </c>
    </row>
    <row r="15" spans="1:7" ht="15">
      <c r="A15" s="15" t="s">
        <v>318</v>
      </c>
    </row>
    <row r="16" spans="1:7" ht="15">
      <c r="A16" s="15" t="s">
        <v>311</v>
      </c>
      <c r="B16" s="15" t="s">
        <v>312</v>
      </c>
      <c r="C16" s="15" t="s">
        <v>197</v>
      </c>
      <c r="D16" s="15" t="s">
        <v>313</v>
      </c>
      <c r="E16" s="15" t="s">
        <v>314</v>
      </c>
      <c r="F16" s="15" t="s">
        <v>315</v>
      </c>
    </row>
    <row r="17" spans="1:7" ht="15">
      <c r="A17" s="12"/>
      <c r="B17" s="116">
        <v>-35</v>
      </c>
      <c r="C17" s="116">
        <v>439.6</v>
      </c>
      <c r="D17">
        <f>C17+$B$1*(B17-C17)</f>
        <v>154.84000000000003</v>
      </c>
      <c r="E17">
        <f>D17-B17</f>
        <v>189.84000000000003</v>
      </c>
      <c r="F17" s="68">
        <f>('Domain-Shift'!C31)/1000+$B$2*E17</f>
        <v>153.81300000000002</v>
      </c>
      <c r="G17" s="9" t="s">
        <v>316</v>
      </c>
    </row>
    <row r="19" spans="1:7" ht="15">
      <c r="A19" s="15" t="s">
        <v>319</v>
      </c>
    </row>
    <row r="20" spans="1:7" ht="15">
      <c r="A20" s="15" t="s">
        <v>311</v>
      </c>
      <c r="B20" s="15" t="s">
        <v>312</v>
      </c>
      <c r="C20" s="15" t="s">
        <v>197</v>
      </c>
      <c r="D20" s="15" t="s">
        <v>313</v>
      </c>
      <c r="E20" s="15" t="s">
        <v>314</v>
      </c>
      <c r="F20" s="15" t="s">
        <v>315</v>
      </c>
    </row>
    <row r="21" spans="1:7" ht="15">
      <c r="A21" s="12"/>
      <c r="B21" s="116">
        <v>-35</v>
      </c>
      <c r="C21" s="116">
        <v>439.6</v>
      </c>
      <c r="D21">
        <f>C21+$B$1*(B21-C21)</f>
        <v>154.84000000000003</v>
      </c>
      <c r="E21">
        <f>D21-B21</f>
        <v>189.84000000000003</v>
      </c>
      <c r="F21" s="68">
        <f>('Domain-Shift'!C33)/1000+$B$2*E21</f>
        <v>338.755</v>
      </c>
      <c r="G21" s="9" t="s">
        <v>316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59FEE-1795-4828-8ED7-02BCE7FB40C8}">
  <sheetPr>
    <tabColor theme="9" tint="0.59999389629810485"/>
  </sheetPr>
  <dimension ref="A1:O38"/>
  <sheetViews>
    <sheetView zoomScale="85" zoomScaleNormal="85" workbookViewId="0">
      <selection activeCell="S26" sqref="S26"/>
    </sheetView>
  </sheetViews>
  <sheetFormatPr baseColWidth="10" defaultRowHeight="14.25"/>
  <cols>
    <col min="1" max="1" width="13.375" customWidth="1"/>
    <col min="2" max="9" width="11.5" customWidth="1"/>
    <col min="10" max="14" width="12.5" customWidth="1"/>
  </cols>
  <sheetData>
    <row r="1" spans="1:15" s="11" customFormat="1" ht="15">
      <c r="A1" s="13" t="s">
        <v>60</v>
      </c>
    </row>
    <row r="2" spans="1:15" s="12" customFormat="1">
      <c r="A2" s="12" t="s">
        <v>63</v>
      </c>
      <c r="B2" s="12" t="s">
        <v>65</v>
      </c>
      <c r="C2" s="12" t="s">
        <v>64</v>
      </c>
    </row>
    <row r="3" spans="1:15">
      <c r="A3" t="s">
        <v>61</v>
      </c>
      <c r="B3" s="127">
        <f>0.001</f>
        <v>1E-3</v>
      </c>
      <c r="C3" s="127">
        <f>0.01</f>
        <v>0.01</v>
      </c>
      <c r="D3" t="s">
        <v>93</v>
      </c>
    </row>
    <row r="4" spans="1:15">
      <c r="A4" t="s">
        <v>62</v>
      </c>
      <c r="B4" s="127">
        <f>0.01</f>
        <v>0.01</v>
      </c>
      <c r="C4" s="127">
        <f>0.1</f>
        <v>0.1</v>
      </c>
      <c r="D4" t="s">
        <v>92</v>
      </c>
    </row>
    <row r="5" spans="1:15" ht="15">
      <c r="A5" s="9" t="s">
        <v>66</v>
      </c>
      <c r="B5" s="33">
        <v>30</v>
      </c>
      <c r="C5" s="33">
        <v>80</v>
      </c>
      <c r="D5" t="s">
        <v>70</v>
      </c>
    </row>
    <row r="7" spans="1:15" ht="15">
      <c r="A7" s="9" t="s">
        <v>67</v>
      </c>
      <c r="B7" s="127">
        <f>10000000000000</f>
        <v>10000000000000</v>
      </c>
      <c r="C7" t="s">
        <v>70</v>
      </c>
      <c r="E7" s="10"/>
    </row>
    <row r="8" spans="1:15" ht="15">
      <c r="A8" s="9" t="s">
        <v>68</v>
      </c>
      <c r="B8" s="33">
        <v>1</v>
      </c>
    </row>
    <row r="9" spans="1:15" ht="15">
      <c r="A9" s="9" t="s">
        <v>69</v>
      </c>
      <c r="B9" t="s">
        <v>71</v>
      </c>
      <c r="C9" t="s">
        <v>72</v>
      </c>
    </row>
    <row r="10" spans="1:15" ht="15">
      <c r="A10" s="9" t="s">
        <v>8</v>
      </c>
      <c r="B10">
        <v>8.3140000000000001</v>
      </c>
      <c r="C10" t="s">
        <v>9</v>
      </c>
    </row>
    <row r="11" spans="1:15" ht="15">
      <c r="A11" s="9"/>
    </row>
    <row r="12" spans="1:15" s="12" customFormat="1" ht="15">
      <c r="A12" s="15" t="s">
        <v>94</v>
      </c>
    </row>
    <row r="13" spans="1:15">
      <c r="B13">
        <v>723</v>
      </c>
      <c r="C13">
        <v>773</v>
      </c>
      <c r="D13">
        <v>823</v>
      </c>
      <c r="E13">
        <v>873</v>
      </c>
      <c r="F13">
        <v>923</v>
      </c>
      <c r="G13">
        <v>973</v>
      </c>
      <c r="H13">
        <v>1023</v>
      </c>
      <c r="I13">
        <v>1073</v>
      </c>
      <c r="J13">
        <v>1123</v>
      </c>
      <c r="K13">
        <v>1173</v>
      </c>
      <c r="L13">
        <v>1223</v>
      </c>
      <c r="M13">
        <v>1273</v>
      </c>
      <c r="N13">
        <v>1323</v>
      </c>
    </row>
    <row r="14" spans="1:15">
      <c r="A14" t="s">
        <v>78</v>
      </c>
      <c r="B14" t="s">
        <v>79</v>
      </c>
      <c r="C14" t="s">
        <v>80</v>
      </c>
      <c r="D14" t="s">
        <v>81</v>
      </c>
      <c r="E14" t="s">
        <v>82</v>
      </c>
      <c r="F14" t="s">
        <v>83</v>
      </c>
      <c r="G14" t="s">
        <v>84</v>
      </c>
      <c r="H14" t="s">
        <v>85</v>
      </c>
      <c r="I14" t="s">
        <v>86</v>
      </c>
      <c r="J14" t="s">
        <v>87</v>
      </c>
      <c r="K14" t="s">
        <v>88</v>
      </c>
      <c r="L14" t="s">
        <v>89</v>
      </c>
      <c r="M14" t="s">
        <v>90</v>
      </c>
      <c r="N14" t="s">
        <v>91</v>
      </c>
    </row>
    <row r="15" spans="1:15" ht="15">
      <c r="A15" s="9" t="s">
        <v>73</v>
      </c>
      <c r="B15" s="147">
        <f>$B$7*$B$8*EXP(-(ABS('Kinetic parameters'!$B17))/($B$10*B$13))</f>
        <v>172328117401.58685</v>
      </c>
      <c r="C15" s="147">
        <f>$B$7*$B$8*EXP(-(ABS('Kinetic parameters'!$B17))/($B$10*C$13))</f>
        <v>224095952543.07397</v>
      </c>
      <c r="D15" s="147">
        <f>$B$7*$B$8*EXP(-(ABS('Kinetic parameters'!$B17))/($B$10*D$13))</f>
        <v>282260858649.44043</v>
      </c>
      <c r="E15" s="147">
        <f>$B$7*$B$8*EXP(-(ABS('Kinetic parameters'!$B17))/($B$10*E$13))</f>
        <v>346248367166.92517</v>
      </c>
      <c r="F15" s="147">
        <f>$B$7*$B$8*EXP(-(ABS('Kinetic parameters'!$B17))/($B$10*F$13))</f>
        <v>415442406567.94867</v>
      </c>
      <c r="G15" s="147">
        <f>$B$7*$B$8*EXP(-(ABS('Kinetic parameters'!$B17))/($B$10*G$13))</f>
        <v>489217571100.1181</v>
      </c>
      <c r="H15" s="147">
        <f>$B$7*$B$8*EXP(-(ABS('Kinetic parameters'!$B17))/($B$10*H$13))</f>
        <v>566961743705.94214</v>
      </c>
      <c r="I15" s="147">
        <f>$B$7*$B$8*EXP(-(ABS('Kinetic parameters'!$B17))/($B$10*I$13))</f>
        <v>648091102966.38232</v>
      </c>
      <c r="J15" s="147">
        <f>$B$7*$B$8*EXP(-(ABS('Kinetic parameters'!$B17))/($B$10*J$13))</f>
        <v>732059359030.68787</v>
      </c>
      <c r="K15" s="147">
        <f>$B$7*$B$8*EXP(-(ABS('Kinetic parameters'!$B17))/($B$10*K$13))</f>
        <v>818362759915.2229</v>
      </c>
      <c r="L15" s="147">
        <f>$B$7*$B$8*EXP(-(ABS('Kinetic parameters'!$B17))/($B$10*L$13))</f>
        <v>906542091774.20544</v>
      </c>
      <c r="M15" s="147">
        <f>$B$7*$B$8*EXP(-(ABS('Kinetic parameters'!$B17))/($B$10*M$13))</f>
        <v>996182611167.34497</v>
      </c>
      <c r="N15" s="147">
        <f>$B$7*$B$8*EXP(-(ABS('Kinetic parameters'!$B17))/($B$10*N$13))</f>
        <v>1086912609744.7369</v>
      </c>
      <c r="O15" t="s">
        <v>70</v>
      </c>
    </row>
    <row r="16" spans="1:15" ht="15">
      <c r="A16" s="9" t="s">
        <v>74</v>
      </c>
      <c r="B16" s="147">
        <f>$B$7*$B$8*EXP(-(ABS('Kinetic parameters'!$B19))/($B$10*B$13))</f>
        <v>233490722679.00293</v>
      </c>
      <c r="C16" s="147">
        <f>$B$7*$B$8*EXP(-(ABS('Kinetic parameters'!$B19))/($B$10*C$13))</f>
        <v>297724744663.77643</v>
      </c>
      <c r="D16" s="147">
        <f>$B$7*$B$8*EXP(-(ABS('Kinetic parameters'!$B19))/($B$10*D$13))</f>
        <v>368583401829.53436</v>
      </c>
      <c r="E16" s="147">
        <f>$B$7*$B$8*EXP(-(ABS('Kinetic parameters'!$B19))/($B$10*E$13))</f>
        <v>445282546260.33832</v>
      </c>
      <c r="F16" s="147">
        <f>$B$7*$B$8*EXP(-(ABS('Kinetic parameters'!$B19))/($B$10*F$13))</f>
        <v>527036476369.6424</v>
      </c>
      <c r="G16" s="147">
        <f>$B$7*$B$8*EXP(-(ABS('Kinetic parameters'!$B19))/($B$10*G$13))</f>
        <v>613086900694.48401</v>
      </c>
      <c r="H16" s="147">
        <f>$B$7*$B$8*EXP(-(ABS('Kinetic parameters'!$B19))/($B$10*H$13))</f>
        <v>702721003908.35706</v>
      </c>
      <c r="I16" s="147">
        <f>$B$7*$B$8*EXP(-(ABS('Kinetic parameters'!$B19))/($B$10*I$13))</f>
        <v>795281564626.83301</v>
      </c>
      <c r="J16" s="147">
        <f>$B$7*$B$8*EXP(-(ABS('Kinetic parameters'!$B19))/($B$10*J$13))</f>
        <v>890171487267.40137</v>
      </c>
      <c r="K16" s="147">
        <f>$B$7*$B$8*EXP(-(ABS('Kinetic parameters'!$B19))/($B$10*K$13))</f>
        <v>986854549291.71533</v>
      </c>
      <c r="L16" s="147">
        <f>$B$7*$B$8*EXP(-(ABS('Kinetic parameters'!$B19))/($B$10*L$13))</f>
        <v>1084853690968.0822</v>
      </c>
      <c r="M16" s="147">
        <f>$B$7*$B$8*EXP(-(ABS('Kinetic parameters'!$B19))/($B$10*M$13))</f>
        <v>1183747799318.6155</v>
      </c>
      <c r="N16" s="147">
        <f>$B$7*$B$8*EXP(-(ABS('Kinetic parameters'!$B19))/($B$10*N$13))</f>
        <v>1283167652460.4702</v>
      </c>
      <c r="O16" t="s">
        <v>70</v>
      </c>
    </row>
    <row r="17" spans="1:15" ht="15">
      <c r="A17" s="9" t="s">
        <v>75</v>
      </c>
      <c r="B17" s="147">
        <f>$B$7*$B$8*EXP(-(ABS('Kinetic parameters'!$B21))/($B$10*B$13))</f>
        <v>68000056092.791855</v>
      </c>
      <c r="C17" s="147">
        <f>$B$7*$B$8*EXP(-(ABS('Kinetic parameters'!$B21))/($B$10*C$13))</f>
        <v>93909426587.057022</v>
      </c>
      <c r="D17" s="147">
        <f>$B$7*$B$8*EXP(-(ABS('Kinetic parameters'!$B21))/($B$10*D$13))</f>
        <v>124702132293.908</v>
      </c>
      <c r="E17" s="147">
        <f>$B$7*$B$8*EXP(-(ABS('Kinetic parameters'!$B21))/($B$10*E$13))</f>
        <v>160298832181.57632</v>
      </c>
      <c r="F17" s="147">
        <f>$B$7*$B$8*EXP(-(ABS('Kinetic parameters'!$B21))/($B$10*F$13))</f>
        <v>200526327810.37534</v>
      </c>
      <c r="G17" s="147">
        <f>$B$7*$B$8*EXP(-(ABS('Kinetic parameters'!$B21))/($B$10*G$13))</f>
        <v>245142438858.12143</v>
      </c>
      <c r="H17" s="147">
        <f>$B$7*$B$8*EXP(-(ABS('Kinetic parameters'!$B21))/($B$10*H$13))</f>
        <v>293857683520.86023</v>
      </c>
      <c r="I17" s="147">
        <f>$B$7*$B$8*EXP(-(ABS('Kinetic parameters'!$B21))/($B$10*I$13))</f>
        <v>346353271708.33362</v>
      </c>
      <c r="J17" s="147">
        <f>$B$7*$B$8*EXP(-(ABS('Kinetic parameters'!$B21))/($B$10*J$13))</f>
        <v>402295476698.78809</v>
      </c>
      <c r="K17" s="147">
        <f>$B$7*$B$8*EXP(-(ABS('Kinetic parameters'!$B21))/($B$10*K$13))</f>
        <v>461346737169.27979</v>
      </c>
      <c r="L17" s="147">
        <f>$B$7*$B$8*EXP(-(ABS('Kinetic parameters'!$B21))/($B$10*L$13))</f>
        <v>523173958572.87567</v>
      </c>
      <c r="M17" s="147">
        <f>$B$7*$B$8*EXP(-(ABS('Kinetic parameters'!$B21))/($B$10*M$13))</f>
        <v>587454501961.80737</v>
      </c>
      <c r="N17" s="147">
        <f>$B$7*$B$8*EXP(-(ABS('Kinetic parameters'!$B21))/($B$10*N$13))</f>
        <v>653880315827.29492</v>
      </c>
      <c r="O17" t="s">
        <v>70</v>
      </c>
    </row>
    <row r="18" spans="1:15" ht="15">
      <c r="A18" s="9" t="s">
        <v>76</v>
      </c>
      <c r="B18" s="147">
        <f>$B$7*$B$8*EXP(-(ABS('Kinetic parameters'!$B23))/($B$10*B$13))</f>
        <v>2547460978195.5806</v>
      </c>
      <c r="C18" s="147">
        <f>$B$7*$B$8*EXP(-(ABS('Kinetic parameters'!$B23))/($B$10*C$13))</f>
        <v>2783058387206.2476</v>
      </c>
      <c r="D18" s="147">
        <f>$B$7*$B$8*EXP(-(ABS('Kinetic parameters'!$B23))/($B$10*D$13))</f>
        <v>3007941897472.7344</v>
      </c>
      <c r="E18" s="147">
        <f>$B$7*$B$8*EXP(-(ABS('Kinetic parameters'!$B23))/($B$10*E$13))</f>
        <v>3222188313678.3213</v>
      </c>
      <c r="F18" s="147">
        <f>$B$7*$B$8*EXP(-(ABS('Kinetic parameters'!$B23))/($B$10*F$13))</f>
        <v>3426059995162.5249</v>
      </c>
      <c r="G18" s="147">
        <f>$B$7*$B$8*EXP(-(ABS('Kinetic parameters'!$B23))/($B$10*G$13))</f>
        <v>3619934144122.1978</v>
      </c>
      <c r="H18" s="147">
        <f>$B$7*$B$8*EXP(-(ABS('Kinetic parameters'!$B23))/($B$10*H$13))</f>
        <v>3804254402686.2134</v>
      </c>
      <c r="I18" s="147">
        <f>$B$7*$B$8*EXP(-(ABS('Kinetic parameters'!$B23))/($B$10*I$13))</f>
        <v>3979497962389.8726</v>
      </c>
      <c r="J18" s="147">
        <f>$B$7*$B$8*EXP(-(ABS('Kinetic parameters'!$B23))/($B$10*J$13))</f>
        <v>4146153446003.0693</v>
      </c>
      <c r="K18" s="147">
        <f>$B$7*$B$8*EXP(-(ABS('Kinetic parameters'!$B23))/($B$10*K$13))</f>
        <v>4304706263700.3477</v>
      </c>
      <c r="L18" s="147">
        <f>$B$7*$B$8*EXP(-(ABS('Kinetic parameters'!$B23))/($B$10*L$13))</f>
        <v>4455629148987.3994</v>
      </c>
      <c r="M18" s="147">
        <f>$B$7*$B$8*EXP(-(ABS('Kinetic parameters'!$B23))/($B$10*M$13))</f>
        <v>4599376276099.4668</v>
      </c>
      <c r="N18" s="147">
        <f>$B$7*$B$8*EXP(-(ABS('Kinetic parameters'!$B23))/($B$10*N$13))</f>
        <v>4736379843810.4414</v>
      </c>
      <c r="O18" t="s">
        <v>70</v>
      </c>
    </row>
    <row r="19" spans="1:15" ht="15">
      <c r="A19" s="9" t="s">
        <v>77</v>
      </c>
      <c r="B19" s="147">
        <f>$B$7*$B$8*EXP(-(ABS('Kinetic parameters'!$B25))/($B$10*B$13))</f>
        <v>577681724.46494043</v>
      </c>
      <c r="C19" s="147">
        <f>$B$7*$B$8*EXP(-(ABS('Kinetic parameters'!$B25))/($B$10*C$13))</f>
        <v>1086014309.6125197</v>
      </c>
      <c r="D19" s="147">
        <f>$B$7*$B$8*EXP(-(ABS('Kinetic parameters'!$B25))/($B$10*D$13))</f>
        <v>1890914029.7964783</v>
      </c>
      <c r="E19" s="147">
        <f>$B$7*$B$8*EXP(-(ABS('Kinetic parameters'!$B25))/($B$10*E$13))</f>
        <v>3089732085.5451875</v>
      </c>
      <c r="F19" s="147">
        <f>$B$7*$B$8*EXP(-(ABS('Kinetic parameters'!$B25))/($B$10*F$13))</f>
        <v>4787027882.0809965</v>
      </c>
      <c r="G19" s="147">
        <f>$B$7*$B$8*EXP(-(ABS('Kinetic parameters'!$B25))/($B$10*G$13))</f>
        <v>7090370668.7284145</v>
      </c>
      <c r="H19" s="147">
        <f>$B$7*$B$8*EXP(-(ABS('Kinetic parameters'!$B25))/($B$10*H$13))</f>
        <v>10106369884.541042</v>
      </c>
      <c r="I19" s="147">
        <f>$B$7*$B$8*EXP(-(ABS('Kinetic parameters'!$B25))/($B$10*I$13))</f>
        <v>13937215918.561758</v>
      </c>
      <c r="J19" s="147">
        <f>$B$7*$B$8*EXP(-(ABS('Kinetic parameters'!$B25))/($B$10*J$13))</f>
        <v>18677880193.209446</v>
      </c>
      <c r="K19" s="147">
        <f>$B$7*$B$8*EXP(-(ABS('Kinetic parameters'!$B25))/($B$10*K$13))</f>
        <v>24414019239.294491</v>
      </c>
      <c r="L19" s="147">
        <f>$B$7*$B$8*EXP(-(ABS('Kinetic parameters'!$B25))/($B$10*L$13))</f>
        <v>31220555067.080441</v>
      </c>
      <c r="M19" s="147">
        <f>$B$7*$B$8*EXP(-(ABS('Kinetic parameters'!$B25))/($B$10*M$13))</f>
        <v>39160860103.708481</v>
      </c>
      <c r="N19" s="147">
        <f>$B$7*$B$8*EXP(-(ABS('Kinetic parameters'!$B25))/($B$10*N$13))</f>
        <v>48286453052.272263</v>
      </c>
      <c r="O19" t="s">
        <v>70</v>
      </c>
    </row>
    <row r="21" spans="1:15" s="12" customFormat="1" ht="27.95" customHeight="1">
      <c r="A21" s="15" t="s">
        <v>95</v>
      </c>
    </row>
    <row r="22" spans="1:15" ht="15">
      <c r="A22" s="15" t="s">
        <v>218</v>
      </c>
      <c r="B22" s="128">
        <v>0.1</v>
      </c>
      <c r="C22" t="s">
        <v>70</v>
      </c>
    </row>
    <row r="23" spans="1:15">
      <c r="B23">
        <v>723</v>
      </c>
      <c r="C23">
        <v>773</v>
      </c>
      <c r="D23">
        <v>823</v>
      </c>
      <c r="E23">
        <v>873</v>
      </c>
      <c r="F23">
        <v>923</v>
      </c>
      <c r="G23">
        <v>973</v>
      </c>
      <c r="H23">
        <v>1023</v>
      </c>
      <c r="I23">
        <v>1073</v>
      </c>
      <c r="J23">
        <v>1123</v>
      </c>
      <c r="K23">
        <v>1173</v>
      </c>
      <c r="L23">
        <v>1223</v>
      </c>
      <c r="M23">
        <v>1273</v>
      </c>
      <c r="N23">
        <v>1323</v>
      </c>
    </row>
    <row r="24" spans="1:15">
      <c r="A24" t="s">
        <v>78</v>
      </c>
      <c r="B24" t="s">
        <v>79</v>
      </c>
      <c r="C24" t="s">
        <v>80</v>
      </c>
      <c r="D24" t="s">
        <v>81</v>
      </c>
      <c r="E24" t="s">
        <v>82</v>
      </c>
      <c r="F24" t="s">
        <v>83</v>
      </c>
      <c r="G24" t="s">
        <v>84</v>
      </c>
      <c r="H24" t="s">
        <v>85</v>
      </c>
      <c r="I24" t="s">
        <v>86</v>
      </c>
      <c r="J24" t="s">
        <v>87</v>
      </c>
      <c r="K24" t="s">
        <v>88</v>
      </c>
      <c r="L24" t="s">
        <v>89</v>
      </c>
      <c r="M24" t="s">
        <v>90</v>
      </c>
      <c r="N24" t="s">
        <v>91</v>
      </c>
    </row>
    <row r="25" spans="1:15" ht="15">
      <c r="A25" s="9" t="s">
        <v>73</v>
      </c>
      <c r="B25" s="14">
        <f t="shared" ref="B25:C29" si="0">$B$22/B15</f>
        <v>5.8028835635083173E-13</v>
      </c>
      <c r="C25" s="14">
        <f t="shared" si="0"/>
        <v>4.4623742135984712E-13</v>
      </c>
      <c r="D25" s="14">
        <f t="shared" ref="D25:D29" si="1">$B$22/D15</f>
        <v>3.5428220716991803E-13</v>
      </c>
      <c r="E25" s="14">
        <f t="shared" ref="E25:H29" si="2">$B$22/E15</f>
        <v>2.8881002621967698E-13</v>
      </c>
      <c r="F25" s="14">
        <f t="shared" si="2"/>
        <v>2.4070725188148134E-13</v>
      </c>
      <c r="G25" s="14">
        <f t="shared" si="2"/>
        <v>2.0440803010228565E-13</v>
      </c>
      <c r="H25" s="14">
        <f t="shared" si="2"/>
        <v>1.7637874355745873E-13</v>
      </c>
      <c r="I25" s="14">
        <f t="shared" ref="I25:N25" si="3">$B$22/I15</f>
        <v>1.5429929456258434E-13</v>
      </c>
      <c r="J25" s="14">
        <f t="shared" si="3"/>
        <v>1.3660094467258634E-13</v>
      </c>
      <c r="K25" s="14">
        <f t="shared" si="3"/>
        <v>1.22195198630934E-13</v>
      </c>
      <c r="L25" s="14">
        <f t="shared" si="3"/>
        <v>1.1030927400655902E-13</v>
      </c>
      <c r="M25" s="14">
        <f t="shared" si="3"/>
        <v>1.0038320171320616E-13</v>
      </c>
      <c r="N25" s="14">
        <f t="shared" si="3"/>
        <v>9.2003716861363078E-14</v>
      </c>
    </row>
    <row r="26" spans="1:15" ht="15">
      <c r="A26" s="9" t="s">
        <v>74</v>
      </c>
      <c r="B26" s="14">
        <f t="shared" si="0"/>
        <v>4.2828254096192698E-13</v>
      </c>
      <c r="C26" s="14">
        <f t="shared" si="0"/>
        <v>3.3588071462763706E-13</v>
      </c>
      <c r="D26" s="14">
        <f t="shared" si="1"/>
        <v>2.7130901582553866E-13</v>
      </c>
      <c r="E26" s="14">
        <f t="shared" si="2"/>
        <v>2.245765095439742E-13</v>
      </c>
      <c r="F26" s="14">
        <f t="shared" si="2"/>
        <v>1.8974018779274016E-13</v>
      </c>
      <c r="G26" s="14">
        <f t="shared" si="2"/>
        <v>1.6310901421433635E-13</v>
      </c>
      <c r="H26" s="14">
        <f t="shared" si="2"/>
        <v>1.4230398613934294E-13</v>
      </c>
      <c r="I26" s="14">
        <f t="shared" ref="I26:N26" si="4">$B$22/I16</f>
        <v>1.2574162969177165E-13</v>
      </c>
      <c r="J26" s="14">
        <f t="shared" si="4"/>
        <v>1.1233790503330365E-13</v>
      </c>
      <c r="K26" s="14">
        <f t="shared" si="4"/>
        <v>1.0133205554128716E-13</v>
      </c>
      <c r="L26" s="14">
        <f t="shared" si="4"/>
        <v>9.2178328591723558E-14</v>
      </c>
      <c r="M26" s="14">
        <f t="shared" si="4"/>
        <v>8.4477453776523709E-14</v>
      </c>
      <c r="N26" s="14">
        <f t="shared" si="4"/>
        <v>7.7932139115454087E-14</v>
      </c>
    </row>
    <row r="27" spans="1:15" ht="15">
      <c r="A27" s="9" t="s">
        <v>75</v>
      </c>
      <c r="B27" s="14">
        <f t="shared" si="0"/>
        <v>1.4705870222157099E-12</v>
      </c>
      <c r="C27" s="14">
        <f t="shared" si="0"/>
        <v>1.0648558258131502E-12</v>
      </c>
      <c r="D27" s="14">
        <f t="shared" si="1"/>
        <v>8.0191090689862439E-13</v>
      </c>
      <c r="E27" s="14">
        <f t="shared" si="2"/>
        <v>6.2383486291856678E-13</v>
      </c>
      <c r="F27" s="14">
        <f t="shared" si="2"/>
        <v>4.9868763414729008E-13</v>
      </c>
      <c r="G27" s="14">
        <f t="shared" si="2"/>
        <v>4.0792610396552337E-13</v>
      </c>
      <c r="H27" s="14">
        <f t="shared" si="2"/>
        <v>3.4030078370539272E-13</v>
      </c>
      <c r="I27" s="14">
        <f t="shared" ref="I27:N27" si="5">$B$22/I17</f>
        <v>2.8872255055298181E-13</v>
      </c>
      <c r="J27" s="14">
        <f t="shared" si="5"/>
        <v>2.4857351323110526E-13</v>
      </c>
      <c r="K27" s="14">
        <f t="shared" si="5"/>
        <v>2.1675670801006982E-13</v>
      </c>
      <c r="L27" s="14">
        <f t="shared" si="5"/>
        <v>1.9114101220324879E-13</v>
      </c>
      <c r="M27" s="14">
        <f t="shared" si="5"/>
        <v>1.7022594884548417E-13</v>
      </c>
      <c r="N27" s="14">
        <f t="shared" si="5"/>
        <v>1.5293318605787844E-13</v>
      </c>
    </row>
    <row r="28" spans="1:15" ht="15">
      <c r="A28" s="9" t="s">
        <v>76</v>
      </c>
      <c r="B28" s="14">
        <f t="shared" si="0"/>
        <v>3.9254772047904767E-14</v>
      </c>
      <c r="C28" s="14">
        <f t="shared" si="0"/>
        <v>3.5931693154445191E-14</v>
      </c>
      <c r="D28" s="14">
        <f t="shared" si="1"/>
        <v>3.3245323017715127E-14</v>
      </c>
      <c r="E28" s="14">
        <f t="shared" si="2"/>
        <v>3.1034809348508871E-14</v>
      </c>
      <c r="F28" s="14">
        <f t="shared" si="2"/>
        <v>2.9188046952241482E-14</v>
      </c>
      <c r="G28" s="14">
        <f t="shared" si="2"/>
        <v>2.7624811949237581E-14</v>
      </c>
      <c r="H28" s="14">
        <f t="shared" si="2"/>
        <v>2.6286359800067324E-14</v>
      </c>
      <c r="I28" s="14">
        <f t="shared" ref="I28:N28" si="6">$B$22/I18</f>
        <v>2.5128797889858797E-14</v>
      </c>
      <c r="J28" s="14">
        <f t="shared" si="6"/>
        <v>2.4118740732184173E-14</v>
      </c>
      <c r="K28" s="14">
        <f t="shared" si="6"/>
        <v>2.3230388759218032E-14</v>
      </c>
      <c r="L28" s="14">
        <f t="shared" si="6"/>
        <v>2.2443519569559853E-14</v>
      </c>
      <c r="M28" s="14">
        <f t="shared" si="6"/>
        <v>2.1742078490000322E-14</v>
      </c>
      <c r="N28" s="14">
        <f t="shared" si="6"/>
        <v>2.1113171514459765E-14</v>
      </c>
    </row>
    <row r="29" spans="1:15" ht="15">
      <c r="A29" s="9" t="s">
        <v>77</v>
      </c>
      <c r="B29" s="14">
        <f t="shared" si="0"/>
        <v>1.7310570122782033E-10</v>
      </c>
      <c r="C29" s="14">
        <f t="shared" si="0"/>
        <v>9.2079818023465193E-11</v>
      </c>
      <c r="D29" s="14">
        <f t="shared" si="1"/>
        <v>5.2884477255035831E-11</v>
      </c>
      <c r="E29" s="14">
        <f t="shared" si="2"/>
        <v>3.2365265735444784E-11</v>
      </c>
      <c r="F29" s="14">
        <f t="shared" si="2"/>
        <v>2.0889788499942562E-11</v>
      </c>
      <c r="G29" s="14">
        <f t="shared" si="2"/>
        <v>1.4103635010373016E-11</v>
      </c>
      <c r="H29" s="14">
        <f t="shared" si="2"/>
        <v>9.894749662088118E-12</v>
      </c>
      <c r="I29" s="14">
        <f t="shared" ref="I29:N29" si="7">$B$22/I19</f>
        <v>7.1750341376873382E-12</v>
      </c>
      <c r="J29" s="14">
        <f t="shared" si="7"/>
        <v>5.353926621520794E-12</v>
      </c>
      <c r="K29" s="14">
        <f t="shared" si="7"/>
        <v>4.0960072579548672E-12</v>
      </c>
      <c r="L29" s="14">
        <f t="shared" si="7"/>
        <v>3.2030180048093362E-12</v>
      </c>
      <c r="M29" s="14">
        <f t="shared" si="7"/>
        <v>2.553570062944816E-12</v>
      </c>
      <c r="N29" s="14">
        <f t="shared" si="7"/>
        <v>2.0709742314629217E-12</v>
      </c>
    </row>
    <row r="30" spans="1:15" ht="15">
      <c r="I30" s="9"/>
    </row>
    <row r="31" spans="1:15" ht="15">
      <c r="A31" s="15" t="s">
        <v>217</v>
      </c>
      <c r="B31" s="128">
        <f>(B5+C5)/2</f>
        <v>55</v>
      </c>
      <c r="C31" t="s">
        <v>70</v>
      </c>
    </row>
    <row r="32" spans="1:15">
      <c r="B32">
        <v>723</v>
      </c>
      <c r="C32">
        <v>773</v>
      </c>
      <c r="D32">
        <v>823</v>
      </c>
      <c r="E32">
        <v>873</v>
      </c>
      <c r="F32">
        <v>923</v>
      </c>
      <c r="G32">
        <v>973</v>
      </c>
      <c r="H32">
        <v>1023</v>
      </c>
      <c r="I32">
        <v>1073</v>
      </c>
      <c r="J32">
        <v>1123</v>
      </c>
      <c r="K32">
        <v>1173</v>
      </c>
      <c r="L32">
        <v>1223</v>
      </c>
      <c r="M32">
        <v>1273</v>
      </c>
      <c r="N32">
        <v>1323</v>
      </c>
    </row>
    <row r="33" spans="1:14">
      <c r="A33" t="s">
        <v>78</v>
      </c>
      <c r="B33" t="s">
        <v>79</v>
      </c>
      <c r="C33" t="s">
        <v>80</v>
      </c>
      <c r="D33" t="s">
        <v>81</v>
      </c>
      <c r="E33" t="s">
        <v>82</v>
      </c>
      <c r="F33" t="s">
        <v>83</v>
      </c>
      <c r="G33" t="s">
        <v>84</v>
      </c>
      <c r="H33" t="s">
        <v>85</v>
      </c>
      <c r="I33" t="s">
        <v>86</v>
      </c>
      <c r="J33" t="s">
        <v>87</v>
      </c>
      <c r="K33" t="s">
        <v>88</v>
      </c>
      <c r="L33" t="s">
        <v>89</v>
      </c>
      <c r="M33" t="s">
        <v>90</v>
      </c>
      <c r="N33" t="s">
        <v>91</v>
      </c>
    </row>
    <row r="34" spans="1:14" ht="15">
      <c r="A34" s="9" t="s">
        <v>73</v>
      </c>
      <c r="B34" s="147">
        <f t="shared" ref="B34:N38" si="8">$B$31/B15</f>
        <v>3.1915859599295744E-10</v>
      </c>
      <c r="C34" s="147">
        <f t="shared" si="8"/>
        <v>2.4543058174791592E-10</v>
      </c>
      <c r="D34" s="147">
        <f t="shared" si="8"/>
        <v>1.9485521394345492E-10</v>
      </c>
      <c r="E34" s="147">
        <f t="shared" si="8"/>
        <v>1.5884551442082233E-10</v>
      </c>
      <c r="F34" s="147">
        <f t="shared" si="8"/>
        <v>1.3238898853481474E-10</v>
      </c>
      <c r="G34" s="147">
        <f t="shared" si="8"/>
        <v>1.1242441655625709E-10</v>
      </c>
      <c r="H34" s="147">
        <f t="shared" si="8"/>
        <v>9.7008308956602288E-11</v>
      </c>
      <c r="I34" s="147">
        <f t="shared" si="8"/>
        <v>8.4864612009421385E-11</v>
      </c>
      <c r="J34" s="147">
        <f t="shared" si="8"/>
        <v>7.5130519569922478E-11</v>
      </c>
      <c r="K34" s="147">
        <f t="shared" si="8"/>
        <v>6.7207359247013696E-11</v>
      </c>
      <c r="L34" s="147">
        <f t="shared" si="8"/>
        <v>6.0670100703607456E-11</v>
      </c>
      <c r="M34" s="147">
        <f t="shared" si="8"/>
        <v>5.5210760942263384E-11</v>
      </c>
      <c r="N34" s="147">
        <f t="shared" si="8"/>
        <v>5.0602044273749694E-11</v>
      </c>
    </row>
    <row r="35" spans="1:14" ht="15">
      <c r="A35" s="9" t="s">
        <v>74</v>
      </c>
      <c r="B35" s="147">
        <f t="shared" si="8"/>
        <v>2.3555539752905982E-10</v>
      </c>
      <c r="C35" s="147">
        <f t="shared" si="8"/>
        <v>1.8473439304520039E-10</v>
      </c>
      <c r="D35" s="147">
        <f t="shared" si="8"/>
        <v>1.4921995870404624E-10</v>
      </c>
      <c r="E35" s="147">
        <f t="shared" si="8"/>
        <v>1.2351708024918581E-10</v>
      </c>
      <c r="F35" s="147">
        <f t="shared" si="8"/>
        <v>1.0435710328600708E-10</v>
      </c>
      <c r="G35" s="147">
        <f t="shared" si="8"/>
        <v>8.9709957817884977E-11</v>
      </c>
      <c r="H35" s="147">
        <f t="shared" si="8"/>
        <v>7.8267192376638623E-11</v>
      </c>
      <c r="I35" s="147">
        <f t="shared" si="8"/>
        <v>6.9157896330474407E-11</v>
      </c>
      <c r="J35" s="147">
        <f t="shared" si="8"/>
        <v>6.1785847768317006E-11</v>
      </c>
      <c r="K35" s="147">
        <f t="shared" si="8"/>
        <v>5.5732630547707934E-11</v>
      </c>
      <c r="L35" s="147">
        <f t="shared" si="8"/>
        <v>5.0698080725447957E-11</v>
      </c>
      <c r="M35" s="147">
        <f t="shared" si="8"/>
        <v>4.6462599577088036E-11</v>
      </c>
      <c r="N35" s="147">
        <f t="shared" si="8"/>
        <v>4.2862676513499748E-11</v>
      </c>
    </row>
    <row r="36" spans="1:14" ht="15">
      <c r="A36" s="9" t="s">
        <v>75</v>
      </c>
      <c r="B36" s="147">
        <f t="shared" si="8"/>
        <v>8.0882286221864029E-10</v>
      </c>
      <c r="C36" s="147">
        <f t="shared" si="8"/>
        <v>5.8567070419723253E-10</v>
      </c>
      <c r="D36" s="147">
        <f t="shared" si="8"/>
        <v>4.4105099879424338E-10</v>
      </c>
      <c r="E36" s="147">
        <f t="shared" si="8"/>
        <v>3.4310917460521173E-10</v>
      </c>
      <c r="F36" s="147">
        <f t="shared" si="8"/>
        <v>2.7427819878100953E-10</v>
      </c>
      <c r="G36" s="147">
        <f t="shared" si="8"/>
        <v>2.2435935718103786E-10</v>
      </c>
      <c r="H36" s="147">
        <f t="shared" si="8"/>
        <v>1.8716543103796598E-10</v>
      </c>
      <c r="I36" s="147">
        <f t="shared" si="8"/>
        <v>1.5879740280414001E-10</v>
      </c>
      <c r="J36" s="147">
        <f t="shared" si="8"/>
        <v>1.367154322771079E-10</v>
      </c>
      <c r="K36" s="147">
        <f t="shared" si="8"/>
        <v>1.1921618940553839E-10</v>
      </c>
      <c r="L36" s="147">
        <f t="shared" si="8"/>
        <v>1.0512755671178682E-10</v>
      </c>
      <c r="M36" s="147">
        <f t="shared" si="8"/>
        <v>9.3624271865016292E-11</v>
      </c>
      <c r="N36" s="147">
        <f t="shared" si="8"/>
        <v>8.4113252331833129E-11</v>
      </c>
    </row>
    <row r="37" spans="1:14" ht="15">
      <c r="A37" s="9" t="s">
        <v>76</v>
      </c>
      <c r="B37" s="147">
        <f t="shared" si="8"/>
        <v>2.1590124626347619E-11</v>
      </c>
      <c r="C37" s="147">
        <f t="shared" si="8"/>
        <v>1.9762431234944855E-11</v>
      </c>
      <c r="D37" s="147">
        <f t="shared" si="8"/>
        <v>1.8284927659743318E-11</v>
      </c>
      <c r="E37" s="147">
        <f t="shared" si="8"/>
        <v>1.706914514167988E-11</v>
      </c>
      <c r="F37" s="147">
        <f t="shared" si="8"/>
        <v>1.6053425823732816E-11</v>
      </c>
      <c r="G37" s="147">
        <f t="shared" si="8"/>
        <v>1.519364657208067E-11</v>
      </c>
      <c r="H37" s="147">
        <f t="shared" si="8"/>
        <v>1.4457497890037027E-11</v>
      </c>
      <c r="I37" s="147">
        <f t="shared" si="8"/>
        <v>1.3820838839422337E-11</v>
      </c>
      <c r="J37" s="147">
        <f t="shared" si="8"/>
        <v>1.3265307402701296E-11</v>
      </c>
      <c r="K37" s="147">
        <f t="shared" si="8"/>
        <v>1.2776713817569917E-11</v>
      </c>
      <c r="L37" s="147">
        <f t="shared" si="8"/>
        <v>1.2343935763257918E-11</v>
      </c>
      <c r="M37" s="147">
        <f t="shared" si="8"/>
        <v>1.1958143169500178E-11</v>
      </c>
      <c r="N37" s="147">
        <f t="shared" si="8"/>
        <v>1.161224433295287E-11</v>
      </c>
    </row>
    <row r="38" spans="1:14" ht="15">
      <c r="A38" s="9" t="s">
        <v>77</v>
      </c>
      <c r="B38" s="147">
        <f t="shared" si="8"/>
        <v>9.5208135675301174E-8</v>
      </c>
      <c r="C38" s="147">
        <f t="shared" si="8"/>
        <v>5.0643899912905857E-8</v>
      </c>
      <c r="D38" s="147">
        <f t="shared" si="8"/>
        <v>2.9086462490269706E-8</v>
      </c>
      <c r="E38" s="147">
        <f t="shared" si="8"/>
        <v>1.7800896154494629E-8</v>
      </c>
      <c r="F38" s="147">
        <f t="shared" si="8"/>
        <v>1.1489383674968409E-8</v>
      </c>
      <c r="G38" s="147">
        <f t="shared" si="8"/>
        <v>7.7569992557051592E-9</v>
      </c>
      <c r="H38" s="147">
        <f t="shared" si="8"/>
        <v>5.4421123141484647E-9</v>
      </c>
      <c r="I38" s="147">
        <f t="shared" si="8"/>
        <v>3.9462687757280359E-9</v>
      </c>
      <c r="J38" s="147">
        <f t="shared" si="8"/>
        <v>2.9446596418364366E-9</v>
      </c>
      <c r="K38" s="147">
        <f t="shared" si="8"/>
        <v>2.2528039918751768E-9</v>
      </c>
      <c r="L38" s="147">
        <f t="shared" si="8"/>
        <v>1.7616599026451349E-9</v>
      </c>
      <c r="M38" s="147">
        <f t="shared" si="8"/>
        <v>1.4044635346196488E-9</v>
      </c>
      <c r="N38" s="147">
        <f t="shared" si="8"/>
        <v>1.139035827304607E-9</v>
      </c>
    </row>
  </sheetData>
  <phoneticPr fontId="8" type="noConversion"/>
  <pageMargins left="0.7" right="0.7" top="0.75" bottom="0.75" header="0.3" footer="0.3"/>
  <pageSetup paperSize="9" orientation="portrait" horizontalDpi="1200" verticalDpi="1200" r:id="rId1"/>
  <drawing r:id="rId2"/>
  <legacyDrawing r:id="rId3"/>
  <tableParts count="3">
    <tablePart r:id="rId4"/>
    <tablePart r:id="rId5"/>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F1920-6AA3-4116-8F76-65751EDED39C}">
  <sheetPr>
    <tabColor theme="9" tint="0.59999389629810485"/>
  </sheetPr>
  <dimension ref="A1:Q23"/>
  <sheetViews>
    <sheetView workbookViewId="0">
      <selection activeCell="K30" sqref="K30"/>
    </sheetView>
  </sheetViews>
  <sheetFormatPr baseColWidth="10" defaultRowHeight="14.25"/>
  <cols>
    <col min="2" max="2" width="12.375" bestFit="1" customWidth="1"/>
    <col min="3" max="3" width="12.125" bestFit="1" customWidth="1"/>
  </cols>
  <sheetData>
    <row r="1" spans="1:17" s="11" customFormat="1" ht="15">
      <c r="A1" s="13" t="s">
        <v>96</v>
      </c>
    </row>
    <row r="2" spans="1:17" s="12" customFormat="1" ht="15">
      <c r="A2" s="15" t="s">
        <v>63</v>
      </c>
      <c r="B2" s="15" t="s">
        <v>65</v>
      </c>
      <c r="C2" s="15" t="s">
        <v>64</v>
      </c>
      <c r="E2" s="12" t="s">
        <v>3</v>
      </c>
    </row>
    <row r="3" spans="1:17">
      <c r="A3" t="s">
        <v>97</v>
      </c>
      <c r="B3" s="148">
        <v>1.0000000000000001E-9</v>
      </c>
      <c r="C3" s="148">
        <v>1E-8</v>
      </c>
      <c r="E3" t="s">
        <v>101</v>
      </c>
    </row>
    <row r="4" spans="1:17">
      <c r="A4" t="s">
        <v>66</v>
      </c>
      <c r="B4" s="116">
        <f>'Surface Renewal'!C5</f>
        <v>80</v>
      </c>
      <c r="C4" s="116">
        <f>(B4+D4)/2</f>
        <v>55</v>
      </c>
      <c r="D4" s="116">
        <f>'Surface Renewal'!B5</f>
        <v>30</v>
      </c>
      <c r="E4" t="s">
        <v>70</v>
      </c>
    </row>
    <row r="5" spans="1:17" ht="15">
      <c r="A5" s="9" t="s">
        <v>98</v>
      </c>
      <c r="B5" s="16">
        <f>SQRT($B$3*B4)</f>
        <v>2.8284271247461902E-4</v>
      </c>
      <c r="C5" s="16">
        <f>SQRT($B$3*C4)</f>
        <v>2.3452078799117147E-4</v>
      </c>
      <c r="D5" s="16">
        <f>SQRT($B$3*D4)</f>
        <v>1.7320508075688773E-4</v>
      </c>
      <c r="E5" t="s">
        <v>93</v>
      </c>
    </row>
    <row r="6" spans="1:17" ht="15">
      <c r="B6" s="16">
        <f>SQRT($C$3*B4)</f>
        <v>8.9442719099991591E-4</v>
      </c>
      <c r="C6" s="16">
        <f t="shared" ref="C6:D6" si="0">SQRT($C$3*C4)</f>
        <v>7.4161984870956628E-4</v>
      </c>
      <c r="D6" s="16">
        <f t="shared" si="0"/>
        <v>5.4772255750516611E-4</v>
      </c>
    </row>
    <row r="8" spans="1:17" s="15" customFormat="1" ht="15.75" thickBot="1">
      <c r="A8" s="15" t="s">
        <v>99</v>
      </c>
    </row>
    <row r="9" spans="1:17" ht="15">
      <c r="A9" t="s">
        <v>100</v>
      </c>
      <c r="B9" s="127">
        <f>10^2</f>
        <v>100</v>
      </c>
      <c r="C9" s="127">
        <f>10^4</f>
        <v>10000</v>
      </c>
      <c r="D9" t="s">
        <v>70</v>
      </c>
      <c r="E9" s="149">
        <f>'Kinetic parameters'!F7*'Kinetic parameters'!H16*B10*'Kinetic parameters'!B3*'Kinetic parameters'!B5/(B11^2)</f>
        <v>3.2650073868132498E-2</v>
      </c>
      <c r="F9" s="149">
        <f>'Kinetic parameters'!F7*'Kinetic parameters'!H16*C10*'Kinetic parameters'!B3*'Kinetic parameters'!B5/(B11^2)</f>
        <v>0.83584189102419204</v>
      </c>
      <c r="L9" s="35" t="s">
        <v>155</v>
      </c>
      <c r="M9" s="36" t="s">
        <v>164</v>
      </c>
      <c r="N9" s="36" t="s">
        <v>167</v>
      </c>
      <c r="O9" s="36" t="s">
        <v>162</v>
      </c>
      <c r="P9" s="36" t="s">
        <v>162</v>
      </c>
      <c r="Q9" s="37" t="s">
        <v>161</v>
      </c>
    </row>
    <row r="10" spans="1:17" ht="18.75">
      <c r="A10" t="s">
        <v>103</v>
      </c>
      <c r="B10" s="63">
        <v>250</v>
      </c>
      <c r="C10" s="33">
        <v>6400</v>
      </c>
      <c r="D10" t="s">
        <v>104</v>
      </c>
      <c r="L10" s="38" t="s">
        <v>152</v>
      </c>
      <c r="M10" s="39" t="s">
        <v>152</v>
      </c>
      <c r="N10" s="39" t="s">
        <v>152</v>
      </c>
      <c r="O10" s="39" t="s">
        <v>157</v>
      </c>
      <c r="P10" s="39" t="s">
        <v>152</v>
      </c>
      <c r="Q10" s="40" t="s">
        <v>157</v>
      </c>
    </row>
    <row r="11" spans="1:17" ht="18.75">
      <c r="A11" t="s">
        <v>105</v>
      </c>
      <c r="B11">
        <v>1.5</v>
      </c>
      <c r="L11" s="38" t="s">
        <v>153</v>
      </c>
      <c r="M11" s="39" t="s">
        <v>153</v>
      </c>
      <c r="N11" s="39" t="s">
        <v>158</v>
      </c>
      <c r="O11" s="39" t="s">
        <v>153</v>
      </c>
      <c r="P11" s="39" t="s">
        <v>158</v>
      </c>
      <c r="Q11" s="40" t="s">
        <v>158</v>
      </c>
    </row>
    <row r="12" spans="1:17" ht="18.75">
      <c r="A12" s="9" t="s">
        <v>102</v>
      </c>
      <c r="B12" s="18">
        <f>SQRT($B$9*$B$3)/B5</f>
        <v>1.1180339887498949</v>
      </c>
      <c r="C12" s="19">
        <f t="shared" ref="C12:D13" si="1">SQRT($B$9*$B$3)/C5</f>
        <v>1.3483997249264843</v>
      </c>
      <c r="D12" s="22">
        <f t="shared" si="1"/>
        <v>1.8257418583505538</v>
      </c>
      <c r="E12" s="18">
        <f>SQRT($B$9*$C$3)/B5</f>
        <v>3.5355339059327378</v>
      </c>
      <c r="F12" s="19">
        <f t="shared" ref="F12:G12" si="2">SQRT($B$9*$C$3)/C5</f>
        <v>4.2640143271122088</v>
      </c>
      <c r="G12" s="22">
        <f t="shared" si="2"/>
        <v>5.7735026918962582</v>
      </c>
      <c r="L12" s="38" t="s">
        <v>154</v>
      </c>
      <c r="M12" s="39" t="s">
        <v>159</v>
      </c>
      <c r="N12" s="39" t="s">
        <v>159</v>
      </c>
      <c r="O12" s="39" t="s">
        <v>159</v>
      </c>
      <c r="P12" s="39" t="s">
        <v>166</v>
      </c>
      <c r="Q12" s="40" t="s">
        <v>159</v>
      </c>
    </row>
    <row r="13" spans="1:17" ht="15.75" thickBot="1">
      <c r="A13" s="24">
        <f>SQRT($C$9*$C$3)/0.0002</f>
        <v>50</v>
      </c>
      <c r="B13" s="20">
        <f>SQRT($B$9*$B$3)/B6</f>
        <v>0.35355339059327373</v>
      </c>
      <c r="C13" s="21">
        <f>SQRT($B$9*$B$3)/C6</f>
        <v>0.42640143271122088</v>
      </c>
      <c r="D13" s="23">
        <f t="shared" si="1"/>
        <v>0.57735026918962573</v>
      </c>
      <c r="E13" s="20">
        <f>SQRT($B$9*$C$3)/B6</f>
        <v>1.1180339887498949</v>
      </c>
      <c r="F13" s="21">
        <f>SQRT($B$9*$C$3)/C6</f>
        <v>1.3483997249264843</v>
      </c>
      <c r="G13" s="23">
        <f t="shared" ref="G13" si="3">SQRT($B$9*$C$3)/D6</f>
        <v>1.8257418583505538</v>
      </c>
      <c r="L13" s="41" t="s">
        <v>156</v>
      </c>
      <c r="M13" s="42" t="s">
        <v>165</v>
      </c>
      <c r="N13" s="42" t="s">
        <v>163</v>
      </c>
      <c r="O13" s="42" t="s">
        <v>163</v>
      </c>
      <c r="P13" s="42" t="s">
        <v>163</v>
      </c>
      <c r="Q13" s="43" t="s">
        <v>160</v>
      </c>
    </row>
    <row r="14" spans="1:17" ht="15">
      <c r="A14" s="20">
        <f>SQRT($B$9*$B$3)/0.0009</f>
        <v>0.35136418446315326</v>
      </c>
      <c r="B14" s="18">
        <f>SQRT($C$9*$B$3)/B5</f>
        <v>11.180339887498949</v>
      </c>
      <c r="C14" s="19">
        <f t="shared" ref="C14:D15" si="4">SQRT($C$9*$B$3)/C5</f>
        <v>13.483997249264842</v>
      </c>
      <c r="D14" s="22">
        <f t="shared" si="4"/>
        <v>18.257418583505537</v>
      </c>
      <c r="E14" s="18">
        <f>SQRT($C$9*$C$3)/B5</f>
        <v>35.355339059327378</v>
      </c>
      <c r="F14" s="19">
        <f>SQRT($C$9*$C$3)/C5</f>
        <v>42.640143271122092</v>
      </c>
      <c r="G14" s="22">
        <f t="shared" ref="G14" si="5">SQRT($C$9*$C$3)/D5</f>
        <v>57.735026918962575</v>
      </c>
    </row>
    <row r="15" spans="1:17" ht="15">
      <c r="B15" s="20">
        <f>SQRT($C$9*$B$3)/B6</f>
        <v>3.5355339059327378</v>
      </c>
      <c r="C15" s="21">
        <f t="shared" si="4"/>
        <v>4.2640143271122088</v>
      </c>
      <c r="D15" s="23">
        <f t="shared" si="4"/>
        <v>5.7735026918962582</v>
      </c>
      <c r="E15" s="20">
        <f>SQRT($C$9*$C$3)/B6</f>
        <v>11.180339887498949</v>
      </c>
      <c r="F15" s="21">
        <f t="shared" ref="F15" si="6">SQRT($C$9*$C$3)/C6</f>
        <v>13.483997249264842</v>
      </c>
      <c r="G15" s="23">
        <f t="shared" ref="G15" si="7">SQRT($C$9*$C$3)/D6</f>
        <v>18.257418583505537</v>
      </c>
    </row>
    <row r="17" spans="1:7">
      <c r="A17" t="s">
        <v>109</v>
      </c>
    </row>
    <row r="19" spans="1:7" s="15" customFormat="1" ht="15">
      <c r="A19" s="15" t="s">
        <v>106</v>
      </c>
    </row>
    <row r="20" spans="1:7" ht="15">
      <c r="A20" s="9" t="s">
        <v>106</v>
      </c>
      <c r="B20" s="18">
        <f>TANH(B12)/B12</f>
        <v>0.7216989784081197</v>
      </c>
      <c r="C20" s="19">
        <f t="shared" ref="C20:G20" si="8">TANH(C12)/C12</f>
        <v>0.64793475459404704</v>
      </c>
      <c r="D20" s="22">
        <f t="shared" si="8"/>
        <v>0.52001207421370998</v>
      </c>
      <c r="E20" s="18">
        <f>TANH(E12)/E12</f>
        <v>0.28236266901567364</v>
      </c>
      <c r="F20" s="19">
        <f t="shared" si="8"/>
        <v>0.23442800900125588</v>
      </c>
      <c r="G20" s="22">
        <f t="shared" si="8"/>
        <v>0.17320173275491726</v>
      </c>
    </row>
    <row r="21" spans="1:7" ht="15">
      <c r="A21" s="18">
        <f>TANH(A13)/A13</f>
        <v>0.02</v>
      </c>
      <c r="B21" s="20">
        <f t="shared" ref="B21:G21" si="9">TANH(B13)/B13</f>
        <v>0.96031634170890956</v>
      </c>
      <c r="C21" s="21">
        <f t="shared" si="9"/>
        <v>0.94349953494171002</v>
      </c>
      <c r="D21" s="23">
        <f t="shared" si="9"/>
        <v>0.90194273997126972</v>
      </c>
      <c r="E21" s="20">
        <f t="shared" si="9"/>
        <v>0.7216989784081197</v>
      </c>
      <c r="F21" s="21">
        <f t="shared" si="9"/>
        <v>0.64793475459404704</v>
      </c>
      <c r="G21" s="23">
        <f t="shared" si="9"/>
        <v>0.52001207421370998</v>
      </c>
    </row>
    <row r="22" spans="1:7" ht="15">
      <c r="A22" s="24">
        <f>TANH(A14)/A14</f>
        <v>0.96078323469646243</v>
      </c>
      <c r="B22" s="18">
        <f t="shared" ref="B22:G22" si="10">TANH(B14)/B14</f>
        <v>8.9442719065201515E-2</v>
      </c>
      <c r="C22" s="19">
        <f t="shared" si="10"/>
        <v>7.4161984870668787E-2</v>
      </c>
      <c r="D22" s="22">
        <f t="shared" si="10"/>
        <v>5.4772255750516592E-2</v>
      </c>
      <c r="E22" s="18">
        <f t="shared" si="10"/>
        <v>2.8284271247461901E-2</v>
      </c>
      <c r="F22" s="19">
        <f t="shared" si="10"/>
        <v>2.3452078799117145E-2</v>
      </c>
      <c r="G22" s="22">
        <f t="shared" si="10"/>
        <v>1.7320508075688773E-2</v>
      </c>
    </row>
    <row r="23" spans="1:7" ht="15">
      <c r="B23" s="20">
        <f t="shared" ref="B23:G23" si="11">TANH(B15)/B15</f>
        <v>0.28236266901567364</v>
      </c>
      <c r="C23" s="21">
        <f t="shared" si="11"/>
        <v>0.23442800900125588</v>
      </c>
      <c r="D23" s="23">
        <f t="shared" si="11"/>
        <v>0.17320173275491726</v>
      </c>
      <c r="E23" s="20">
        <f t="shared" si="11"/>
        <v>8.9442719065201515E-2</v>
      </c>
      <c r="F23" s="21">
        <f t="shared" si="11"/>
        <v>7.4161984870668787E-2</v>
      </c>
      <c r="G23" s="23">
        <f t="shared" si="11"/>
        <v>5.4772255750516592E-2</v>
      </c>
    </row>
  </sheetData>
  <conditionalFormatting sqref="A13">
    <cfRule type="colorScale" priority="7">
      <colorScale>
        <cfvo type="min"/>
        <cfvo type="percentile" val="50"/>
        <cfvo type="max"/>
        <color rgb="FF63BE7B"/>
        <color rgb="FFFCFCFF"/>
        <color rgb="FFF8696B"/>
      </colorScale>
    </cfRule>
  </conditionalFormatting>
  <conditionalFormatting sqref="A14">
    <cfRule type="colorScale" priority="5">
      <colorScale>
        <cfvo type="min"/>
        <cfvo type="percentile" val="50"/>
        <cfvo type="max"/>
        <color rgb="FFF8696B"/>
        <color rgb="FFFCFCFF"/>
        <color rgb="FF63BE7B"/>
      </colorScale>
    </cfRule>
  </conditionalFormatting>
  <conditionalFormatting sqref="A21">
    <cfRule type="colorScale" priority="1">
      <colorScale>
        <cfvo type="min"/>
        <cfvo type="percentile" val="50"/>
        <cfvo type="max"/>
        <color rgb="FF63BE7B"/>
        <color rgb="FFFCFCFF"/>
        <color rgb="FFF8696B"/>
      </colorScale>
    </cfRule>
  </conditionalFormatting>
  <conditionalFormatting sqref="A22">
    <cfRule type="colorScale" priority="2">
      <colorScale>
        <cfvo type="min"/>
        <cfvo type="percentile" val="50"/>
        <cfvo type="max"/>
        <color rgb="FFF8696B"/>
        <color rgb="FFFCFCFF"/>
        <color rgb="FF63BE7B"/>
      </colorScale>
    </cfRule>
  </conditionalFormatting>
  <conditionalFormatting sqref="B12:C15 E12:F15">
    <cfRule type="colorScale" priority="8">
      <colorScale>
        <cfvo type="min"/>
        <cfvo type="percentile" val="50"/>
        <cfvo type="max"/>
        <color rgb="FF63BE7B"/>
        <color rgb="FFFCFCFF"/>
        <color rgb="FFF8696B"/>
      </colorScale>
    </cfRule>
  </conditionalFormatting>
  <conditionalFormatting sqref="B20:C23 E20:F23">
    <cfRule type="colorScale" priority="4">
      <colorScale>
        <cfvo type="min"/>
        <cfvo type="percentile" val="50"/>
        <cfvo type="max"/>
        <color rgb="FFF8696B"/>
        <color rgb="FFFCFCFF"/>
        <color rgb="FF63BE7B"/>
      </colorScale>
    </cfRule>
  </conditionalFormatting>
  <conditionalFormatting sqref="B5:D6">
    <cfRule type="colorScale" priority="10">
      <colorScale>
        <cfvo type="min"/>
        <cfvo type="percentile" val="50"/>
        <cfvo type="max"/>
        <color rgb="FFF8696B"/>
        <color rgb="FFFCFCFF"/>
        <color rgb="FF63BE7B"/>
      </colorScale>
    </cfRule>
  </conditionalFormatting>
  <pageMargins left="0.7" right="0.7" top="0.75" bottom="0.75" header="0.3" footer="0.3"/>
  <pageSetup paperSize="9" orientation="portrait" horizontalDpi="1200" verticalDpi="1200"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F54B5-7DEF-442B-AD36-4DE5787489D8}">
  <sheetPr>
    <tabColor theme="9" tint="0.59999389629810485"/>
  </sheetPr>
  <dimension ref="A1:AQ55"/>
  <sheetViews>
    <sheetView topLeftCell="B1" zoomScale="85" zoomScaleNormal="85" workbookViewId="0">
      <selection activeCell="D1" sqref="B1:D1"/>
    </sheetView>
  </sheetViews>
  <sheetFormatPr baseColWidth="10" defaultRowHeight="14.25"/>
  <cols>
    <col min="1" max="1" width="4.625" customWidth="1"/>
    <col min="2" max="2" width="17.625" customWidth="1"/>
    <col min="3" max="3" width="11" customWidth="1"/>
    <col min="5" max="5" width="3" customWidth="1"/>
    <col min="8" max="8" width="8.75" bestFit="1" customWidth="1"/>
    <col min="9" max="9" width="4.5" customWidth="1"/>
    <col min="11" max="11" width="15.125" bestFit="1" customWidth="1"/>
    <col min="12" max="12" width="14" bestFit="1" customWidth="1"/>
    <col min="13" max="13" width="11.25" customWidth="1"/>
    <col min="14" max="17" width="14" bestFit="1" customWidth="1"/>
    <col min="18" max="18" width="14.25" customWidth="1"/>
    <col min="19" max="23" width="14" bestFit="1" customWidth="1"/>
    <col min="24" max="27" width="11.375" bestFit="1" customWidth="1"/>
    <col min="28" max="28" width="11.125" bestFit="1" customWidth="1"/>
    <col min="29" max="30" width="11.375" bestFit="1" customWidth="1"/>
  </cols>
  <sheetData>
    <row r="1" spans="1:43" ht="15.75">
      <c r="A1" s="12"/>
      <c r="B1" s="25" t="s">
        <v>120</v>
      </c>
      <c r="C1" s="26">
        <v>8.3140000000000001</v>
      </c>
      <c r="D1" s="26" t="s">
        <v>121</v>
      </c>
    </row>
    <row r="2" spans="1:43" ht="15.75">
      <c r="A2" s="12"/>
      <c r="B2" s="25" t="s">
        <v>122</v>
      </c>
      <c r="C2" s="27">
        <v>773</v>
      </c>
      <c r="D2" s="26" t="s">
        <v>5</v>
      </c>
    </row>
    <row r="3" spans="1:43" ht="15.75">
      <c r="A3" s="3"/>
      <c r="B3" s="28" t="s">
        <v>19</v>
      </c>
      <c r="C3" s="3"/>
      <c r="D3" s="3"/>
      <c r="E3" s="3"/>
      <c r="F3" s="323" t="s">
        <v>123</v>
      </c>
      <c r="G3" s="323"/>
      <c r="H3" s="323"/>
      <c r="I3" s="3"/>
      <c r="K3" s="85" t="s">
        <v>127</v>
      </c>
      <c r="L3" s="86">
        <f>L4-273</f>
        <v>450</v>
      </c>
      <c r="M3" s="86">
        <f t="shared" ref="M3:T3" si="0">M4-273</f>
        <v>500</v>
      </c>
      <c r="N3" s="86">
        <f t="shared" si="0"/>
        <v>550</v>
      </c>
      <c r="O3" s="86">
        <f t="shared" si="0"/>
        <v>600</v>
      </c>
      <c r="P3" s="86">
        <f t="shared" si="0"/>
        <v>650</v>
      </c>
      <c r="Q3" s="86">
        <f t="shared" si="0"/>
        <v>700</v>
      </c>
      <c r="R3" s="86">
        <f t="shared" si="0"/>
        <v>750</v>
      </c>
      <c r="S3" s="86">
        <f t="shared" si="0"/>
        <v>800</v>
      </c>
      <c r="T3" s="86">
        <f t="shared" si="0"/>
        <v>850</v>
      </c>
      <c r="U3" s="86">
        <f>U4-273</f>
        <v>900</v>
      </c>
      <c r="V3" s="86">
        <f t="shared" ref="V3" si="1">V4-273</f>
        <v>950</v>
      </c>
      <c r="W3" s="86">
        <f t="shared" ref="W3" si="2">W4-273</f>
        <v>1000</v>
      </c>
    </row>
    <row r="4" spans="1:43" ht="15.75">
      <c r="A4" s="26" t="s">
        <v>137</v>
      </c>
      <c r="B4" t="s">
        <v>24</v>
      </c>
      <c r="C4" s="30">
        <f>'Domain-Shift'!L11</f>
        <v>2.5999999999999999E-2</v>
      </c>
      <c r="D4" t="s">
        <v>39</v>
      </c>
      <c r="E4" s="3"/>
      <c r="F4" s="34" t="s">
        <v>138</v>
      </c>
      <c r="G4" s="34">
        <f>C4*EXP(-C5/($C$1*$C$2))</f>
        <v>1.1602172955356023</v>
      </c>
      <c r="H4" t="s">
        <v>39</v>
      </c>
      <c r="I4" s="3"/>
      <c r="K4" s="88" t="s">
        <v>128</v>
      </c>
      <c r="L4" s="32">
        <v>723</v>
      </c>
      <c r="M4" s="32">
        <v>773</v>
      </c>
      <c r="N4" s="32">
        <v>823</v>
      </c>
      <c r="O4" s="32">
        <v>873</v>
      </c>
      <c r="P4" s="32">
        <v>923</v>
      </c>
      <c r="Q4" s="32">
        <v>973</v>
      </c>
      <c r="R4" s="32">
        <v>1023</v>
      </c>
      <c r="S4" s="32">
        <v>1073</v>
      </c>
      <c r="T4" s="32">
        <v>1123</v>
      </c>
      <c r="U4" s="32">
        <v>1173</v>
      </c>
      <c r="V4" s="32">
        <v>1223</v>
      </c>
      <c r="W4" s="89">
        <v>1273</v>
      </c>
    </row>
    <row r="5" spans="1:43" ht="15.75">
      <c r="A5" s="26"/>
      <c r="B5" t="s">
        <v>22</v>
      </c>
      <c r="C5" s="33">
        <f>'Domain-Shift'!L12</f>
        <v>-24410.399999999998</v>
      </c>
      <c r="D5" t="s">
        <v>15</v>
      </c>
      <c r="E5" s="3"/>
      <c r="F5" s="34"/>
      <c r="G5" s="34"/>
      <c r="I5" s="3"/>
      <c r="K5" s="92" t="s">
        <v>130</v>
      </c>
      <c r="L5" s="105">
        <f t="shared" ref="L5:W5" si="3">($C4*EXP(-$C5/($C$1*L$4)))*$C18</f>
        <v>0.75437486325608138</v>
      </c>
      <c r="M5" s="105">
        <f t="shared" si="3"/>
        <v>0.58010864776780113</v>
      </c>
      <c r="N5" s="105">
        <f t="shared" si="3"/>
        <v>0.46056686932089341</v>
      </c>
      <c r="O5" s="105">
        <f t="shared" si="3"/>
        <v>0.37545303408558001</v>
      </c>
      <c r="P5" s="105">
        <f t="shared" si="3"/>
        <v>0.31291942744592571</v>
      </c>
      <c r="Q5" s="105">
        <f t="shared" si="3"/>
        <v>0.26573043913297134</v>
      </c>
      <c r="R5" s="105">
        <f t="shared" si="3"/>
        <v>0.22929236662469629</v>
      </c>
      <c r="S5" s="105">
        <f t="shared" si="3"/>
        <v>0.20058908293135963</v>
      </c>
      <c r="T5" s="105">
        <f t="shared" si="3"/>
        <v>0.17758122807436222</v>
      </c>
      <c r="U5" s="105">
        <f t="shared" si="3"/>
        <v>0.15885375822021414</v>
      </c>
      <c r="V5" s="105">
        <f t="shared" si="3"/>
        <v>0.14340205620852672</v>
      </c>
      <c r="W5" s="106">
        <f t="shared" si="3"/>
        <v>0.13049816222716798</v>
      </c>
    </row>
    <row r="6" spans="1:43" ht="15.75">
      <c r="A6" s="26" t="s">
        <v>142</v>
      </c>
      <c r="B6" t="s">
        <v>25</v>
      </c>
      <c r="C6" s="30">
        <f>'Domain-Shift'!L13</f>
        <v>2.6100000000000002E-2</v>
      </c>
      <c r="D6" t="s">
        <v>39</v>
      </c>
      <c r="E6" s="3"/>
      <c r="F6" s="34" t="s">
        <v>143</v>
      </c>
      <c r="G6" s="34">
        <f>C6*EXP(-C7/($C$1*$C$2))</f>
        <v>0.87664866517813278</v>
      </c>
      <c r="H6" t="s">
        <v>39</v>
      </c>
      <c r="I6" s="3"/>
      <c r="K6" s="92" t="s">
        <v>132</v>
      </c>
      <c r="L6" s="105">
        <f t="shared" ref="L6:W6" si="4">($C6*EXP(-$C7/($C$1*L$4)))*$C19</f>
        <v>0.55890871595531466</v>
      </c>
      <c r="M6" s="105">
        <f t="shared" si="4"/>
        <v>0.43832433258906639</v>
      </c>
      <c r="N6" s="105">
        <f t="shared" si="4"/>
        <v>0.35405826565232795</v>
      </c>
      <c r="O6" s="105">
        <f t="shared" si="4"/>
        <v>0.29307234495488638</v>
      </c>
      <c r="P6" s="105">
        <f t="shared" si="4"/>
        <v>0.24761094506952591</v>
      </c>
      <c r="Q6" s="105">
        <f t="shared" si="4"/>
        <v>0.21285726354970888</v>
      </c>
      <c r="R6" s="105">
        <f t="shared" si="4"/>
        <v>0.18570670191184258</v>
      </c>
      <c r="S6" s="105">
        <f t="shared" si="4"/>
        <v>0.16409282674776204</v>
      </c>
      <c r="T6" s="105">
        <f t="shared" si="4"/>
        <v>0.14660096606846126</v>
      </c>
      <c r="U6" s="105">
        <f t="shared" si="4"/>
        <v>0.13223833248137973</v>
      </c>
      <c r="V6" s="105">
        <f t="shared" si="4"/>
        <v>0.12029271881219926</v>
      </c>
      <c r="W6" s="106">
        <f t="shared" si="4"/>
        <v>0.11024307717836344</v>
      </c>
    </row>
    <row r="7" spans="1:43" ht="15.75">
      <c r="A7" s="26"/>
      <c r="B7" t="s">
        <v>23</v>
      </c>
      <c r="C7" s="33">
        <f>'Domain-Shift'!L14</f>
        <v>-22584.6</v>
      </c>
      <c r="D7" t="s">
        <v>15</v>
      </c>
      <c r="E7" s="3"/>
      <c r="F7" s="34"/>
      <c r="G7" s="34"/>
      <c r="I7" s="3"/>
      <c r="K7" s="92" t="s">
        <v>134</v>
      </c>
      <c r="L7" s="105">
        <f t="shared" ref="L7:W7" si="5">SQRT(($C8*EXP(-$C9/($C$1*L$4)))*$C20)</f>
        <v>0</v>
      </c>
      <c r="M7" s="105">
        <f t="shared" si="5"/>
        <v>0</v>
      </c>
      <c r="N7" s="105">
        <f t="shared" si="5"/>
        <v>0</v>
      </c>
      <c r="O7" s="105">
        <f t="shared" si="5"/>
        <v>0</v>
      </c>
      <c r="P7" s="105">
        <f t="shared" si="5"/>
        <v>0</v>
      </c>
      <c r="Q7" s="105">
        <f t="shared" si="5"/>
        <v>0</v>
      </c>
      <c r="R7" s="105">
        <f t="shared" si="5"/>
        <v>0</v>
      </c>
      <c r="S7" s="105">
        <f t="shared" si="5"/>
        <v>0</v>
      </c>
      <c r="T7" s="105">
        <f t="shared" si="5"/>
        <v>0</v>
      </c>
      <c r="U7" s="105">
        <f t="shared" si="5"/>
        <v>0</v>
      </c>
      <c r="V7" s="105">
        <f t="shared" si="5"/>
        <v>0</v>
      </c>
      <c r="W7" s="106">
        <f t="shared" si="5"/>
        <v>0</v>
      </c>
    </row>
    <row r="8" spans="1:43" ht="15.75">
      <c r="A8" s="26" t="s">
        <v>145</v>
      </c>
      <c r="B8" t="s">
        <v>27</v>
      </c>
      <c r="C8" s="127">
        <f>'Domain-Shift'!L15</f>
        <v>1.0000000000000001E-5</v>
      </c>
      <c r="D8" t="s">
        <v>39</v>
      </c>
      <c r="E8" s="3"/>
      <c r="F8" s="34" t="s">
        <v>146</v>
      </c>
      <c r="G8" s="34">
        <f>C8*EXP(-C9/($C$1*$C$2))</f>
        <v>1.0648558258131503E-3</v>
      </c>
      <c r="H8" t="s">
        <v>39</v>
      </c>
      <c r="I8" s="3"/>
      <c r="K8" s="92" t="s">
        <v>136</v>
      </c>
      <c r="L8" s="105">
        <f t="shared" ref="L8:W8" si="6">($C10*EXP(-$C11/($C$1*L$4)))*$C21</f>
        <v>0</v>
      </c>
      <c r="M8" s="105">
        <f t="shared" si="6"/>
        <v>0</v>
      </c>
      <c r="N8" s="105">
        <f t="shared" si="6"/>
        <v>0</v>
      </c>
      <c r="O8" s="105">
        <f t="shared" si="6"/>
        <v>0</v>
      </c>
      <c r="P8" s="105">
        <f t="shared" si="6"/>
        <v>0</v>
      </c>
      <c r="Q8" s="105">
        <f t="shared" si="6"/>
        <v>0</v>
      </c>
      <c r="R8" s="105">
        <f t="shared" si="6"/>
        <v>0</v>
      </c>
      <c r="S8" s="105">
        <f t="shared" si="6"/>
        <v>0</v>
      </c>
      <c r="T8" s="105">
        <f t="shared" si="6"/>
        <v>0</v>
      </c>
      <c r="U8" s="105">
        <f t="shared" si="6"/>
        <v>0</v>
      </c>
      <c r="V8" s="105">
        <f t="shared" si="6"/>
        <v>0</v>
      </c>
      <c r="W8" s="106">
        <f t="shared" si="6"/>
        <v>0</v>
      </c>
    </row>
    <row r="9" spans="1:43" ht="15.75">
      <c r="A9" s="26"/>
      <c r="B9" t="s">
        <v>26</v>
      </c>
      <c r="C9" s="33">
        <f>'Domain-Shift'!L16</f>
        <v>-30000</v>
      </c>
      <c r="D9" t="s">
        <v>15</v>
      </c>
      <c r="E9" s="3"/>
      <c r="F9" s="34"/>
      <c r="G9" s="34"/>
      <c r="I9" s="3"/>
      <c r="K9" s="102" t="s">
        <v>140</v>
      </c>
      <c r="L9" s="107">
        <f t="shared" ref="L9:W9" si="7">($C12*EXP(-$C13/($C$1*L$4)))*$C22</f>
        <v>0</v>
      </c>
      <c r="M9" s="107">
        <f t="shared" si="7"/>
        <v>0</v>
      </c>
      <c r="N9" s="107">
        <f t="shared" si="7"/>
        <v>0</v>
      </c>
      <c r="O9" s="107">
        <f t="shared" si="7"/>
        <v>0</v>
      </c>
      <c r="P9" s="107">
        <f t="shared" si="7"/>
        <v>0</v>
      </c>
      <c r="Q9" s="107">
        <f t="shared" si="7"/>
        <v>0</v>
      </c>
      <c r="R9" s="107">
        <f t="shared" si="7"/>
        <v>0</v>
      </c>
      <c r="S9" s="107">
        <f t="shared" si="7"/>
        <v>0</v>
      </c>
      <c r="T9" s="107">
        <f t="shared" si="7"/>
        <v>0</v>
      </c>
      <c r="U9" s="107">
        <f t="shared" si="7"/>
        <v>0</v>
      </c>
      <c r="V9" s="107">
        <f t="shared" si="7"/>
        <v>0</v>
      </c>
      <c r="W9" s="108">
        <f t="shared" si="7"/>
        <v>0</v>
      </c>
    </row>
    <row r="10" spans="1:43" ht="15.75">
      <c r="A10" s="26" t="s">
        <v>142</v>
      </c>
      <c r="B10" t="s">
        <v>37</v>
      </c>
      <c r="C10" s="127">
        <f>'Domain-Shift'!L17</f>
        <v>1.0000000000000001E-5</v>
      </c>
      <c r="D10" t="s">
        <v>39</v>
      </c>
      <c r="E10" s="3"/>
      <c r="F10" s="34" t="s">
        <v>147</v>
      </c>
      <c r="G10" s="34">
        <f>C10*EXP(-C11/($C$1*$C$2))</f>
        <v>3.593169315444519E-5</v>
      </c>
      <c r="H10" t="s">
        <v>39</v>
      </c>
      <c r="I10" s="3"/>
      <c r="K10" s="109" t="s">
        <v>141</v>
      </c>
      <c r="L10" s="110">
        <f>1+SUM(L5:L9)</f>
        <v>2.3132835792113959</v>
      </c>
      <c r="M10" s="110">
        <f t="shared" ref="M10:V10" si="8">1+SUM(M5:M9)</f>
        <v>2.0184329803568675</v>
      </c>
      <c r="N10" s="110">
        <f t="shared" si="8"/>
        <v>1.8146251349732214</v>
      </c>
      <c r="O10" s="110">
        <f t="shared" si="8"/>
        <v>1.6685253790404664</v>
      </c>
      <c r="P10" s="110">
        <f t="shared" si="8"/>
        <v>1.5605303725154516</v>
      </c>
      <c r="Q10" s="110">
        <f t="shared" si="8"/>
        <v>1.4785877026826801</v>
      </c>
      <c r="R10" s="110">
        <f t="shared" si="8"/>
        <v>1.414999068536539</v>
      </c>
      <c r="S10" s="110">
        <f t="shared" si="8"/>
        <v>1.3646819096791216</v>
      </c>
      <c r="T10" s="110">
        <f t="shared" si="8"/>
        <v>1.3241821941428236</v>
      </c>
      <c r="U10" s="110">
        <f t="shared" si="8"/>
        <v>1.2910920907015939</v>
      </c>
      <c r="V10" s="110">
        <f t="shared" si="8"/>
        <v>1.2636947750207259</v>
      </c>
      <c r="W10" s="111">
        <f>1+SUM(W5:W9)</f>
        <v>1.2407412394055315</v>
      </c>
    </row>
    <row r="11" spans="1:43" ht="15.75">
      <c r="A11" s="26"/>
      <c r="B11" t="s">
        <v>29</v>
      </c>
      <c r="C11" s="33">
        <f>'Domain-Shift'!L18</f>
        <v>-8220</v>
      </c>
      <c r="D11" t="s">
        <v>15</v>
      </c>
      <c r="E11" s="3"/>
      <c r="F11" s="34"/>
      <c r="G11" s="34"/>
      <c r="I11" s="3"/>
      <c r="K11" s="78" t="s">
        <v>144</v>
      </c>
      <c r="L11" s="112">
        <f>L10^2</f>
        <v>5.3512809178490865</v>
      </c>
      <c r="M11" s="112">
        <f t="shared" ref="M11:V11" si="9">M10^2</f>
        <v>4.0740716961923065</v>
      </c>
      <c r="N11" s="112">
        <f t="shared" si="9"/>
        <v>3.292864380476582</v>
      </c>
      <c r="O11" s="112">
        <f t="shared" si="9"/>
        <v>2.7839769405021322</v>
      </c>
      <c r="P11" s="112">
        <f t="shared" si="9"/>
        <v>2.4352550435432141</v>
      </c>
      <c r="Q11" s="112">
        <f t="shared" si="9"/>
        <v>2.1862215945244459</v>
      </c>
      <c r="R11" s="112">
        <f t="shared" si="9"/>
        <v>2.0022223639592731</v>
      </c>
      <c r="S11" s="112">
        <f t="shared" si="9"/>
        <v>1.8623567146054543</v>
      </c>
      <c r="T11" s="112">
        <f t="shared" si="9"/>
        <v>1.7534584832849025</v>
      </c>
      <c r="U11" s="112">
        <f t="shared" si="9"/>
        <v>1.6669187866722128</v>
      </c>
      <c r="V11" s="112">
        <f t="shared" si="9"/>
        <v>1.596924484414683</v>
      </c>
      <c r="W11" s="113">
        <f>W10^2</f>
        <v>1.5394388231615743</v>
      </c>
    </row>
    <row r="12" spans="1:43" ht="15.75">
      <c r="A12" s="26" t="s">
        <v>148</v>
      </c>
      <c r="B12" t="s">
        <v>38</v>
      </c>
      <c r="C12" s="30">
        <f>'Domain-Shift'!L19</f>
        <v>4.7299999999999996E-6</v>
      </c>
      <c r="D12" t="s">
        <v>39</v>
      </c>
      <c r="E12" s="3"/>
      <c r="F12" s="34" t="s">
        <v>149</v>
      </c>
      <c r="G12" s="34">
        <f>C12*EXP(-C13/($C$1*$C$2))</f>
        <v>4.3553753925099026E-2</v>
      </c>
      <c r="H12" t="s">
        <v>39</v>
      </c>
      <c r="I12" s="3"/>
      <c r="L12" s="7">
        <f>1/L11</f>
        <v>0.18687114643234684</v>
      </c>
      <c r="M12" s="7">
        <f t="shared" ref="M12:W12" si="10">1/M11</f>
        <v>0.24545468871709258</v>
      </c>
      <c r="N12" s="7">
        <f t="shared" si="10"/>
        <v>0.30368696807831125</v>
      </c>
      <c r="O12" s="7">
        <f t="shared" si="10"/>
        <v>0.35919837749073991</v>
      </c>
      <c r="P12" s="7">
        <f t="shared" si="10"/>
        <v>0.41063460792387219</v>
      </c>
      <c r="Q12" s="7">
        <f t="shared" si="10"/>
        <v>0.45741017402104805</v>
      </c>
      <c r="R12" s="7">
        <f>1/R11</f>
        <v>0.49944502568763677</v>
      </c>
      <c r="S12" s="7">
        <f t="shared" si="10"/>
        <v>0.5369540604963281</v>
      </c>
      <c r="T12" s="7">
        <f t="shared" si="10"/>
        <v>0.57030149817212394</v>
      </c>
      <c r="U12" s="7">
        <f t="shared" si="10"/>
        <v>0.59990925052585808</v>
      </c>
      <c r="V12" s="7">
        <f t="shared" si="10"/>
        <v>0.62620368699934337</v>
      </c>
      <c r="W12" s="7">
        <f t="shared" si="10"/>
        <v>0.64958735933804845</v>
      </c>
    </row>
    <row r="13" spans="1:43">
      <c r="A13" s="12"/>
      <c r="B13" t="s">
        <v>30</v>
      </c>
      <c r="C13" s="33">
        <f>'Domain-Shift'!L20</f>
        <v>-58662</v>
      </c>
      <c r="D13" t="s">
        <v>15</v>
      </c>
      <c r="E13" s="3"/>
      <c r="F13" s="3"/>
      <c r="G13" s="3"/>
      <c r="H13" s="3"/>
      <c r="I13" s="3"/>
      <c r="K13" s="85" t="s">
        <v>126</v>
      </c>
      <c r="L13" s="86"/>
      <c r="M13" s="86"/>
      <c r="N13" s="86"/>
      <c r="O13" s="86"/>
      <c r="P13" s="86"/>
      <c r="Q13" s="86"/>
      <c r="R13" s="86"/>
      <c r="S13" s="86"/>
      <c r="T13" s="86"/>
      <c r="U13" s="86"/>
      <c r="V13" s="86"/>
      <c r="W13" s="87"/>
    </row>
    <row r="14" spans="1:43" ht="15.75">
      <c r="A14" s="3"/>
      <c r="B14" s="3"/>
      <c r="C14" s="3"/>
      <c r="D14" s="3"/>
      <c r="E14" s="3"/>
      <c r="K14" s="88" t="s">
        <v>128</v>
      </c>
      <c r="L14" s="32">
        <v>723</v>
      </c>
      <c r="M14" s="32">
        <v>773</v>
      </c>
      <c r="N14" s="32">
        <v>823</v>
      </c>
      <c r="O14" s="32">
        <v>873</v>
      </c>
      <c r="P14" s="32">
        <v>923</v>
      </c>
      <c r="Q14" s="32">
        <v>973</v>
      </c>
      <c r="R14" s="32">
        <v>1023</v>
      </c>
      <c r="S14" s="32">
        <v>1073</v>
      </c>
      <c r="T14" s="32">
        <v>1123</v>
      </c>
      <c r="U14" s="32">
        <v>1173</v>
      </c>
      <c r="V14" s="32">
        <v>1223</v>
      </c>
      <c r="W14" s="89">
        <v>1273</v>
      </c>
    </row>
    <row r="15" spans="1:43" ht="15">
      <c r="K15" s="92" t="s">
        <v>130</v>
      </c>
      <c r="L15" s="93">
        <f t="shared" ref="L15:W15" si="11">($C4*EXP(-$C5/($C$1*L$14)))*L$26</f>
        <v>0.76412955354021339</v>
      </c>
      <c r="M15" s="93">
        <f t="shared" si="11"/>
        <v>0.5867186934749643</v>
      </c>
      <c r="N15" s="93">
        <f t="shared" si="11"/>
        <v>0.46137157219941788</v>
      </c>
      <c r="O15" s="93">
        <f t="shared" si="11"/>
        <v>0.35925214901961328</v>
      </c>
      <c r="P15" s="93">
        <f t="shared" si="11"/>
        <v>0.25090104959711568</v>
      </c>
      <c r="Q15" s="93">
        <f t="shared" si="11"/>
        <v>0.12595851451764245</v>
      </c>
      <c r="R15" s="93">
        <f t="shared" si="11"/>
        <v>3.6708671005348234E-2</v>
      </c>
      <c r="S15" s="94">
        <f t="shared" si="11"/>
        <v>1.0497244880667483E-2</v>
      </c>
      <c r="T15" s="94">
        <f t="shared" si="11"/>
        <v>5.2098844031240911E-3</v>
      </c>
      <c r="U15" s="94">
        <f t="shared" si="11"/>
        <v>2.7708091114989164E-3</v>
      </c>
      <c r="V15" s="94">
        <f t="shared" si="11"/>
        <v>1.5418148580172417E-3</v>
      </c>
      <c r="W15" s="95">
        <f t="shared" si="11"/>
        <v>8.9604304507434488E-4</v>
      </c>
      <c r="AF15" t="s">
        <v>219</v>
      </c>
      <c r="AG15" t="s">
        <v>220</v>
      </c>
      <c r="AH15" t="s">
        <v>221</v>
      </c>
      <c r="AI15" t="s">
        <v>222</v>
      </c>
      <c r="AJ15" t="s">
        <v>223</v>
      </c>
      <c r="AK15" t="s">
        <v>224</v>
      </c>
      <c r="AL15" t="s">
        <v>225</v>
      </c>
      <c r="AM15" t="s">
        <v>226</v>
      </c>
      <c r="AN15" t="s">
        <v>227</v>
      </c>
      <c r="AO15" t="s">
        <v>228</v>
      </c>
      <c r="AP15" t="s">
        <v>229</v>
      </c>
      <c r="AQ15" t="s">
        <v>230</v>
      </c>
    </row>
    <row r="16" spans="1:43" ht="15.75">
      <c r="A16" s="29"/>
      <c r="B16" s="323" t="s">
        <v>124</v>
      </c>
      <c r="C16" s="323"/>
      <c r="D16" s="323"/>
      <c r="E16" s="29"/>
      <c r="F16" s="323" t="s">
        <v>125</v>
      </c>
      <c r="G16" s="323"/>
      <c r="H16" s="3"/>
      <c r="K16" s="92" t="s">
        <v>132</v>
      </c>
      <c r="L16" s="93">
        <f t="shared" ref="L16:W16" si="12">($C6*EXP(-$C7/($C$1*L$14)))*L$27</f>
        <v>0.56590438083548034</v>
      </c>
      <c r="M16" s="93">
        <f t="shared" si="12"/>
        <v>0.44250935113664996</v>
      </c>
      <c r="N16" s="93">
        <f t="shared" si="12"/>
        <v>0.35091598321748124</v>
      </c>
      <c r="O16" s="93">
        <f t="shared" si="12"/>
        <v>0.2677048435312771</v>
      </c>
      <c r="P16" s="93">
        <f t="shared" si="12"/>
        <v>0.17180028082766957</v>
      </c>
      <c r="Q16" s="93">
        <f t="shared" si="12"/>
        <v>7.3305709432097382E-2</v>
      </c>
      <c r="R16" s="94">
        <f t="shared" si="12"/>
        <v>1.790147257588133E-2</v>
      </c>
      <c r="S16" s="94">
        <f t="shared" si="12"/>
        <v>4.544140178481283E-3</v>
      </c>
      <c r="T16" s="94">
        <f t="shared" si="12"/>
        <v>2.0584859901308914E-3</v>
      </c>
      <c r="U16" s="94">
        <f t="shared" si="12"/>
        <v>1.0020349656740964E-3</v>
      </c>
      <c r="V16" s="94">
        <f t="shared" si="12"/>
        <v>5.1162832883315057E-4</v>
      </c>
      <c r="W16" s="95">
        <f t="shared" si="12"/>
        <v>2.7356264586346122E-4</v>
      </c>
    </row>
    <row r="17" spans="1:43" ht="15">
      <c r="A17" s="3"/>
      <c r="B17" s="322" t="s">
        <v>127</v>
      </c>
      <c r="C17" s="322"/>
      <c r="D17" s="322"/>
      <c r="E17" s="3"/>
      <c r="F17" s="322"/>
      <c r="G17" s="322"/>
      <c r="H17" s="3"/>
      <c r="K17" s="92" t="s">
        <v>134</v>
      </c>
      <c r="L17" s="187">
        <f t="shared" ref="L17:W17" si="13">SQRT(($C8*EXP(-$C9/($C$1*L$14)))*L$28)</f>
        <v>3.8934252674103059E-5</v>
      </c>
      <c r="M17" s="187">
        <f t="shared" si="13"/>
        <v>1.3785999405024148E-4</v>
      </c>
      <c r="N17" s="187">
        <f t="shared" si="13"/>
        <v>5.9569491320784389E-4</v>
      </c>
      <c r="O17" s="187">
        <f t="shared" si="13"/>
        <v>2.013205520628049E-3</v>
      </c>
      <c r="P17" s="187">
        <f t="shared" si="13"/>
        <v>5.0792313421908295E-3</v>
      </c>
      <c r="Q17" s="187">
        <f t="shared" si="13"/>
        <v>9.1404328704804069E-3</v>
      </c>
      <c r="R17" s="187">
        <f t="shared" si="13"/>
        <v>1.1589910762270937E-2</v>
      </c>
      <c r="S17" s="187">
        <f t="shared" si="13"/>
        <v>1.1625929217514253E-2</v>
      </c>
      <c r="T17" s="187">
        <f t="shared" si="13"/>
        <v>1.0972054226215222E-2</v>
      </c>
      <c r="U17" s="187">
        <f t="shared" si="13"/>
        <v>1.03370569799914E-2</v>
      </c>
      <c r="V17" s="187">
        <f t="shared" si="13"/>
        <v>9.7564409225811763E-3</v>
      </c>
      <c r="W17" s="187">
        <f t="shared" si="13"/>
        <v>9.2348816354734173E-3</v>
      </c>
      <c r="AF17" t="s">
        <v>231</v>
      </c>
      <c r="AG17" t="s">
        <v>232</v>
      </c>
      <c r="AH17" t="s">
        <v>233</v>
      </c>
      <c r="AI17" t="s">
        <v>234</v>
      </c>
      <c r="AJ17" t="s">
        <v>235</v>
      </c>
      <c r="AK17" t="s">
        <v>236</v>
      </c>
      <c r="AL17" t="s">
        <v>237</v>
      </c>
      <c r="AM17" t="s">
        <v>238</v>
      </c>
      <c r="AN17" t="s">
        <v>239</v>
      </c>
      <c r="AO17" t="s">
        <v>240</v>
      </c>
      <c r="AP17" t="s">
        <v>241</v>
      </c>
      <c r="AQ17" t="s">
        <v>242</v>
      </c>
    </row>
    <row r="18" spans="1:43" ht="15">
      <c r="A18" s="3"/>
      <c r="B18" t="s">
        <v>129</v>
      </c>
      <c r="C18" s="33">
        <v>0.5</v>
      </c>
      <c r="D18" t="s">
        <v>108</v>
      </c>
      <c r="E18" s="3"/>
      <c r="F18" t="s">
        <v>130</v>
      </c>
      <c r="G18">
        <f>G4*C18</f>
        <v>0.58010864776780113</v>
      </c>
      <c r="H18" s="3"/>
      <c r="K18" s="92" t="s">
        <v>136</v>
      </c>
      <c r="L18" s="193">
        <f t="shared" ref="L18:W18" si="14">($C10*EXP(-$C11/($C$1*L$14)))*L$29</f>
        <v>1.2434804415998398E-8</v>
      </c>
      <c r="M18" s="193">
        <f t="shared" si="14"/>
        <v>6.5981197216934826E-8</v>
      </c>
      <c r="N18" s="193">
        <f t="shared" si="14"/>
        <v>3.6765812714971972E-7</v>
      </c>
      <c r="O18" s="193">
        <f t="shared" si="14"/>
        <v>1.550115546644813E-6</v>
      </c>
      <c r="P18" s="193">
        <f t="shared" si="14"/>
        <v>4.6615826113087021E-6</v>
      </c>
      <c r="Q18" s="193">
        <f t="shared" si="14"/>
        <v>9.2385653538897852E-6</v>
      </c>
      <c r="R18" s="193">
        <f t="shared" si="14"/>
        <v>1.2050360486901233E-5</v>
      </c>
      <c r="S18" s="193">
        <f t="shared" si="14"/>
        <v>1.238292860688045E-5</v>
      </c>
      <c r="T18" s="193">
        <f t="shared" si="14"/>
        <v>1.2049817835833428E-5</v>
      </c>
      <c r="U18" s="193">
        <f t="shared" si="14"/>
        <v>1.1681073696832445E-5</v>
      </c>
      <c r="V18" s="193">
        <f t="shared" si="14"/>
        <v>1.1322712004479859E-5</v>
      </c>
      <c r="W18" s="194">
        <f t="shared" si="14"/>
        <v>1.0988097092560438E-5</v>
      </c>
    </row>
    <row r="19" spans="1:43" ht="15">
      <c r="A19" s="3"/>
      <c r="B19" t="s">
        <v>131</v>
      </c>
      <c r="C19" s="33">
        <v>0.5</v>
      </c>
      <c r="D19" t="s">
        <v>108</v>
      </c>
      <c r="E19" s="3"/>
      <c r="F19" t="s">
        <v>132</v>
      </c>
      <c r="G19">
        <f>G6*C19</f>
        <v>0.43832433258906639</v>
      </c>
      <c r="H19" s="3"/>
      <c r="K19" s="102" t="s">
        <v>140</v>
      </c>
      <c r="L19" s="103">
        <f t="shared" ref="L19:W19" si="15">($C8*EXP(-$C9/($C$1*L$14)))*L$30</f>
        <v>3.0654695675993178E-7</v>
      </c>
      <c r="M19" s="103">
        <f t="shared" si="15"/>
        <v>9.8469778086681378E-7</v>
      </c>
      <c r="N19" s="103">
        <f t="shared" si="15"/>
        <v>4.2601283288838572E-6</v>
      </c>
      <c r="O19" s="103">
        <f t="shared" si="15"/>
        <v>1.3540194422573343E-5</v>
      </c>
      <c r="P19" s="103">
        <f t="shared" si="15"/>
        <v>2.6923670304182663E-5</v>
      </c>
      <c r="Q19" s="103">
        <f t="shared" si="15"/>
        <v>2.6438010751071904E-5</v>
      </c>
      <c r="R19" s="103">
        <f t="shared" si="15"/>
        <v>1.0838677526697725E-5</v>
      </c>
      <c r="S19" s="103">
        <f t="shared" si="15"/>
        <v>3.5572087855503741E-6</v>
      </c>
      <c r="T19" s="103">
        <f t="shared" si="15"/>
        <v>1.9013407251784903E-6</v>
      </c>
      <c r="U19" s="103">
        <f t="shared" si="15"/>
        <v>1.0693050793951715E-6</v>
      </c>
      <c r="V19" s="103">
        <f t="shared" si="15"/>
        <v>6.2119629800386924E-7</v>
      </c>
      <c r="W19" s="104">
        <f t="shared" si="15"/>
        <v>3.7332663067114992E-7</v>
      </c>
      <c r="AF19" t="s">
        <v>243</v>
      </c>
      <c r="AG19" t="s">
        <v>244</v>
      </c>
      <c r="AH19" t="s">
        <v>245</v>
      </c>
      <c r="AI19" t="s">
        <v>246</v>
      </c>
      <c r="AJ19" t="s">
        <v>247</v>
      </c>
      <c r="AK19" t="s">
        <v>248</v>
      </c>
      <c r="AL19" t="s">
        <v>249</v>
      </c>
      <c r="AM19" t="s">
        <v>250</v>
      </c>
    </row>
    <row r="20" spans="1:43" ht="15">
      <c r="A20" s="3"/>
      <c r="B20" t="s">
        <v>133</v>
      </c>
      <c r="C20" s="33">
        <v>0</v>
      </c>
      <c r="D20" t="s">
        <v>108</v>
      </c>
      <c r="E20" s="3"/>
      <c r="F20" t="s">
        <v>134</v>
      </c>
      <c r="G20">
        <f>SQRT(G8*C20)</f>
        <v>0</v>
      </c>
      <c r="H20" s="3"/>
      <c r="K20" s="99" t="s">
        <v>141</v>
      </c>
      <c r="L20" s="100">
        <f>1+SUM(L15:L19)</f>
        <v>2.3300731876101288</v>
      </c>
      <c r="M20" s="100">
        <f t="shared" ref="M20:V20" si="16">1+SUM(M15:M19)</f>
        <v>2.0293669552846425</v>
      </c>
      <c r="N20" s="100">
        <f t="shared" si="16"/>
        <v>1.8128878781165629</v>
      </c>
      <c r="O20" s="100">
        <f t="shared" si="16"/>
        <v>1.6289852883814877</v>
      </c>
      <c r="P20" s="100">
        <f t="shared" si="16"/>
        <v>1.4278121470198917</v>
      </c>
      <c r="Q20" s="100">
        <f t="shared" si="16"/>
        <v>1.2084403333963252</v>
      </c>
      <c r="R20" s="100">
        <f t="shared" si="16"/>
        <v>1.066222943381514</v>
      </c>
      <c r="S20" s="100">
        <f t="shared" si="16"/>
        <v>1.0266832544140554</v>
      </c>
      <c r="T20" s="100">
        <f t="shared" si="16"/>
        <v>1.0182543757780311</v>
      </c>
      <c r="U20" s="100">
        <f t="shared" si="16"/>
        <v>1.0141226514359407</v>
      </c>
      <c r="V20" s="100">
        <f t="shared" si="16"/>
        <v>1.011821828017734</v>
      </c>
      <c r="W20" s="101">
        <f>1+SUM(W15:W19)</f>
        <v>1.0104158487501345</v>
      </c>
    </row>
    <row r="21" spans="1:43">
      <c r="A21" s="3"/>
      <c r="B21" t="s">
        <v>135</v>
      </c>
      <c r="C21" s="33">
        <v>0</v>
      </c>
      <c r="D21" t="s">
        <v>108</v>
      </c>
      <c r="E21" s="3"/>
      <c r="F21" t="s">
        <v>136</v>
      </c>
      <c r="G21">
        <f>G10*C21</f>
        <v>0</v>
      </c>
      <c r="H21" s="3"/>
      <c r="K21" s="96" t="s">
        <v>144</v>
      </c>
      <c r="L21" s="97">
        <f>L20^2</f>
        <v>5.4292410596196268</v>
      </c>
      <c r="M21" s="97">
        <f t="shared" ref="M21:V21" si="17">M20^2</f>
        <v>4.11833023920126</v>
      </c>
      <c r="N21" s="97">
        <f t="shared" si="17"/>
        <v>3.2865624586219742</v>
      </c>
      <c r="O21" s="97">
        <f t="shared" si="17"/>
        <v>2.6535930697633185</v>
      </c>
      <c r="P21" s="97">
        <f t="shared" si="17"/>
        <v>2.0386475271775528</v>
      </c>
      <c r="Q21" s="97">
        <f t="shared" si="17"/>
        <v>1.4603280393790214</v>
      </c>
      <c r="R21" s="97">
        <f t="shared" si="17"/>
        <v>1.1368313649931392</v>
      </c>
      <c r="S21" s="97">
        <f t="shared" si="17"/>
        <v>1.054078504894236</v>
      </c>
      <c r="T21" s="97">
        <f t="shared" si="17"/>
        <v>1.0368419737911079</v>
      </c>
      <c r="U21" s="97">
        <f t="shared" si="17"/>
        <v>1.0284447521554625</v>
      </c>
      <c r="V21" s="97">
        <f t="shared" si="17"/>
        <v>1.023783411653149</v>
      </c>
      <c r="W21" s="98">
        <f>W20^2</f>
        <v>1.0209401874054547</v>
      </c>
      <c r="AF21" t="s">
        <v>219</v>
      </c>
      <c r="AG21" t="s">
        <v>220</v>
      </c>
      <c r="AH21" t="s">
        <v>221</v>
      </c>
      <c r="AI21" t="s">
        <v>222</v>
      </c>
      <c r="AJ21" t="s">
        <v>223</v>
      </c>
      <c r="AK21" t="s">
        <v>224</v>
      </c>
      <c r="AL21" t="s">
        <v>225</v>
      </c>
      <c r="AM21" t="s">
        <v>226</v>
      </c>
      <c r="AN21" t="s">
        <v>227</v>
      </c>
      <c r="AO21" t="s">
        <v>228</v>
      </c>
      <c r="AP21" t="s">
        <v>229</v>
      </c>
      <c r="AQ21" t="s">
        <v>230</v>
      </c>
    </row>
    <row r="22" spans="1:43">
      <c r="A22" s="3"/>
      <c r="B22" t="s">
        <v>139</v>
      </c>
      <c r="C22" s="33">
        <v>0</v>
      </c>
      <c r="D22" t="s">
        <v>108</v>
      </c>
      <c r="E22" s="3"/>
      <c r="F22" t="s">
        <v>140</v>
      </c>
      <c r="G22">
        <f>G12*C22</f>
        <v>0</v>
      </c>
      <c r="H22" s="3"/>
      <c r="L22" s="7">
        <f>1/L21</f>
        <v>0.18418780618115713</v>
      </c>
      <c r="M22" s="7">
        <f t="shared" ref="M22:W22" si="18">1/M21</f>
        <v>0.24281685584154308</v>
      </c>
      <c r="N22" s="7">
        <f t="shared" si="18"/>
        <v>0.30426928214207466</v>
      </c>
      <c r="O22" s="7">
        <f t="shared" si="18"/>
        <v>0.37684753227411499</v>
      </c>
      <c r="P22" s="7">
        <f t="shared" si="18"/>
        <v>0.49052128269788275</v>
      </c>
      <c r="Q22" s="7">
        <f t="shared" si="18"/>
        <v>0.6847776479216493</v>
      </c>
      <c r="R22" s="7">
        <f t="shared" si="18"/>
        <v>0.87963793997365214</v>
      </c>
      <c r="S22" s="7">
        <f t="shared" si="18"/>
        <v>0.9486959418647265</v>
      </c>
      <c r="T22" s="7">
        <f t="shared" si="18"/>
        <v>0.96446712737101203</v>
      </c>
      <c r="U22" s="7">
        <f t="shared" si="18"/>
        <v>0.97234197355196117</v>
      </c>
      <c r="V22" s="7">
        <f t="shared" si="18"/>
        <v>0.97676909844168613</v>
      </c>
      <c r="W22" s="7">
        <f t="shared" si="18"/>
        <v>0.97948931028107478</v>
      </c>
    </row>
    <row r="23" spans="1:43" ht="15.75">
      <c r="A23" s="3"/>
      <c r="B23" s="322" t="s">
        <v>126</v>
      </c>
      <c r="C23" s="322"/>
      <c r="D23" s="322"/>
      <c r="E23" s="3"/>
      <c r="F23" s="12" t="s">
        <v>150</v>
      </c>
      <c r="G23" s="12" t="e">
        <f>1+SUM(#REF!)</f>
        <v>#REF!</v>
      </c>
      <c r="H23" s="3"/>
      <c r="K23" s="189" t="s">
        <v>321</v>
      </c>
      <c r="L23" s="189"/>
      <c r="M23" s="189"/>
      <c r="N23" s="3"/>
      <c r="O23" s="3"/>
      <c r="P23" s="3"/>
      <c r="Q23" s="3"/>
      <c r="R23" s="3"/>
      <c r="S23" s="3"/>
      <c r="T23" s="3"/>
      <c r="U23" s="3"/>
      <c r="V23" s="3"/>
      <c r="W23" s="3"/>
      <c r="AF23" t="s">
        <v>231</v>
      </c>
      <c r="AG23" t="s">
        <v>232</v>
      </c>
      <c r="AH23" t="s">
        <v>233</v>
      </c>
      <c r="AI23" t="s">
        <v>234</v>
      </c>
      <c r="AJ23" t="s">
        <v>235</v>
      </c>
      <c r="AK23" t="s">
        <v>236</v>
      </c>
      <c r="AL23" t="s">
        <v>237</v>
      </c>
      <c r="AM23" t="s">
        <v>238</v>
      </c>
      <c r="AN23" t="s">
        <v>239</v>
      </c>
      <c r="AO23" t="s">
        <v>240</v>
      </c>
      <c r="AP23" t="s">
        <v>241</v>
      </c>
      <c r="AQ23" t="s">
        <v>242</v>
      </c>
    </row>
    <row r="24" spans="1:43">
      <c r="A24" s="3"/>
      <c r="B24" t="s">
        <v>129</v>
      </c>
      <c r="C24" s="33">
        <v>0.2</v>
      </c>
      <c r="D24" t="s">
        <v>108</v>
      </c>
      <c r="E24" s="3"/>
      <c r="F24" t="s">
        <v>130</v>
      </c>
      <c r="G24">
        <f>G4*C24</f>
        <v>0.23204345910712046</v>
      </c>
      <c r="H24" s="3"/>
      <c r="K24" s="85" t="s">
        <v>126</v>
      </c>
      <c r="L24" s="86"/>
      <c r="M24" s="86"/>
      <c r="N24" s="86"/>
      <c r="O24" s="86"/>
      <c r="P24" s="86"/>
      <c r="Q24" s="86"/>
      <c r="R24" s="86"/>
      <c r="S24" s="86"/>
      <c r="T24" s="86"/>
      <c r="U24" s="86"/>
      <c r="V24" s="86"/>
      <c r="W24" s="87"/>
    </row>
    <row r="25" spans="1:43" ht="15.75">
      <c r="A25" s="3"/>
      <c r="B25" t="s">
        <v>131</v>
      </c>
      <c r="C25" s="33">
        <v>0.2</v>
      </c>
      <c r="D25" t="s">
        <v>108</v>
      </c>
      <c r="E25" s="3"/>
      <c r="F25" t="s">
        <v>132</v>
      </c>
      <c r="G25">
        <f>G6*C25</f>
        <v>0.17532973303562657</v>
      </c>
      <c r="H25" s="3"/>
      <c r="K25" s="88" t="s">
        <v>128</v>
      </c>
      <c r="L25" s="32">
        <v>723</v>
      </c>
      <c r="M25" s="32">
        <v>773</v>
      </c>
      <c r="N25" s="32">
        <v>823</v>
      </c>
      <c r="O25" s="32">
        <v>873</v>
      </c>
      <c r="P25" s="32">
        <v>923</v>
      </c>
      <c r="Q25" s="32">
        <v>973</v>
      </c>
      <c r="R25" s="32">
        <v>1023</v>
      </c>
      <c r="S25" s="32">
        <v>1073</v>
      </c>
      <c r="T25" s="32">
        <v>1123</v>
      </c>
      <c r="U25" s="32">
        <v>1173</v>
      </c>
      <c r="V25" s="32">
        <v>1223</v>
      </c>
      <c r="W25" s="89">
        <v>1273</v>
      </c>
      <c r="AF25" t="s">
        <v>243</v>
      </c>
      <c r="AG25" t="s">
        <v>244</v>
      </c>
      <c r="AH25" t="s">
        <v>245</v>
      </c>
      <c r="AI25" t="s">
        <v>246</v>
      </c>
      <c r="AJ25" t="s">
        <v>247</v>
      </c>
      <c r="AK25" t="s">
        <v>248</v>
      </c>
      <c r="AL25" t="s">
        <v>249</v>
      </c>
      <c r="AM25" t="s">
        <v>250</v>
      </c>
    </row>
    <row r="26" spans="1:43">
      <c r="A26" s="3"/>
      <c r="B26" t="s">
        <v>133</v>
      </c>
      <c r="C26" s="33">
        <v>0.4</v>
      </c>
      <c r="D26" t="s">
        <v>108</v>
      </c>
      <c r="E26" s="3"/>
      <c r="F26" t="s">
        <v>134</v>
      </c>
      <c r="G26">
        <f>SQRT(G8*C26)</f>
        <v>2.0638370340830211E-2</v>
      </c>
      <c r="H26" s="3"/>
      <c r="K26" s="90" t="s">
        <v>129</v>
      </c>
      <c r="L26" s="117">
        <f t="shared" ref="L26:W26" si="19">L33*L$38</f>
        <v>0.50646541312500004</v>
      </c>
      <c r="M26" s="118">
        <f t="shared" si="19"/>
        <v>0.50569724803499994</v>
      </c>
      <c r="N26" s="118">
        <f t="shared" si="19"/>
        <v>0.50087360048249996</v>
      </c>
      <c r="O26" s="118">
        <f t="shared" si="19"/>
        <v>0.47842488461249999</v>
      </c>
      <c r="P26" s="118">
        <f t="shared" si="19"/>
        <v>0.40090359944249998</v>
      </c>
      <c r="Q26" s="118">
        <f t="shared" si="19"/>
        <v>0.237004302045</v>
      </c>
      <c r="R26" s="118">
        <f t="shared" si="19"/>
        <v>8.0047738931999998E-2</v>
      </c>
      <c r="S26" s="118">
        <f t="shared" si="19"/>
        <v>2.6166042356999999E-2</v>
      </c>
      <c r="T26" s="118">
        <f t="shared" si="19"/>
        <v>1.4669017833749999E-2</v>
      </c>
      <c r="U26" s="118">
        <f t="shared" si="19"/>
        <v>8.7212576603250009E-3</v>
      </c>
      <c r="V26" s="118">
        <f t="shared" si="19"/>
        <v>5.3758464096749997E-3</v>
      </c>
      <c r="W26" s="119">
        <f t="shared" si="19"/>
        <v>3.4331634629249999E-3</v>
      </c>
    </row>
    <row r="27" spans="1:43">
      <c r="A27" s="3"/>
      <c r="B27" t="s">
        <v>135</v>
      </c>
      <c r="C27" s="33">
        <v>0.4</v>
      </c>
      <c r="D27" t="s">
        <v>108</v>
      </c>
      <c r="E27" s="3"/>
      <c r="F27" t="s">
        <v>136</v>
      </c>
      <c r="G27">
        <f>G10*C27</f>
        <v>1.4372677261778076E-5</v>
      </c>
      <c r="H27" s="3"/>
      <c r="K27" s="90" t="s">
        <v>131</v>
      </c>
      <c r="L27" s="120">
        <f t="shared" ref="L27:W27" si="20">L34*L$38</f>
        <v>0.50625832509000002</v>
      </c>
      <c r="M27" s="121">
        <f t="shared" si="20"/>
        <v>0.50477388344249996</v>
      </c>
      <c r="N27" s="121">
        <f t="shared" si="20"/>
        <v>0.495562478355</v>
      </c>
      <c r="O27" s="121">
        <f t="shared" si="20"/>
        <v>0.45672143438250001</v>
      </c>
      <c r="P27" s="121">
        <f t="shared" si="20"/>
        <v>0.34691576492999998</v>
      </c>
      <c r="Q27" s="121">
        <f t="shared" si="20"/>
        <v>0.17219452183499998</v>
      </c>
      <c r="R27" s="121">
        <f t="shared" si="20"/>
        <v>4.8198240536249999E-2</v>
      </c>
      <c r="S27" s="121">
        <f t="shared" si="20"/>
        <v>1.3846248701249999E-2</v>
      </c>
      <c r="T27" s="121">
        <f t="shared" si="20"/>
        <v>7.0207108634249994E-3</v>
      </c>
      <c r="U27" s="121">
        <f t="shared" si="20"/>
        <v>3.7887462238500001E-3</v>
      </c>
      <c r="V27" s="121">
        <f t="shared" si="20"/>
        <v>2.126597244975E-3</v>
      </c>
      <c r="W27" s="122">
        <f t="shared" si="20"/>
        <v>1.2407248276499999E-3</v>
      </c>
    </row>
    <row r="28" spans="1:43">
      <c r="A28" s="3"/>
      <c r="B28" t="s">
        <v>139</v>
      </c>
      <c r="C28" s="33">
        <v>0.05</v>
      </c>
      <c r="D28" t="s">
        <v>108</v>
      </c>
      <c r="E28" s="3"/>
      <c r="F28" t="s">
        <v>140</v>
      </c>
      <c r="G28">
        <f>G12*C28</f>
        <v>2.1776876962549515E-3</v>
      </c>
      <c r="H28" s="3"/>
      <c r="K28" s="90" t="s">
        <v>133</v>
      </c>
      <c r="L28" s="190">
        <f t="shared" ref="L28:W28" si="21">L35*L$38</f>
        <v>1.0307965515749999E-6</v>
      </c>
      <c r="M28" s="191">
        <f t="shared" si="21"/>
        <v>1.7847841462499997E-5</v>
      </c>
      <c r="N28" s="195">
        <f t="shared" si="21"/>
        <v>4.4250854623499998E-4</v>
      </c>
      <c r="O28" s="195">
        <f t="shared" si="21"/>
        <v>6.4969060070249997E-3</v>
      </c>
      <c r="P28" s="191">
        <f t="shared" si="21"/>
        <v>5.1732967214249997E-2</v>
      </c>
      <c r="Q28" s="191">
        <f t="shared" si="21"/>
        <v>0.20481041112000001</v>
      </c>
      <c r="R28" s="191">
        <f t="shared" si="21"/>
        <v>0.39472736446500001</v>
      </c>
      <c r="S28" s="191">
        <f t="shared" si="21"/>
        <v>0.46813880631000004</v>
      </c>
      <c r="T28" s="191">
        <f t="shared" si="21"/>
        <v>0.48430732775249996</v>
      </c>
      <c r="U28" s="191">
        <f t="shared" si="21"/>
        <v>0.49297088883000001</v>
      </c>
      <c r="V28" s="191">
        <f t="shared" si="21"/>
        <v>0.49799955738749996</v>
      </c>
      <c r="W28" s="192">
        <f t="shared" si="21"/>
        <v>0.50099905096499997</v>
      </c>
    </row>
    <row r="29" spans="1:43">
      <c r="A29" s="3"/>
      <c r="B29" s="3"/>
      <c r="C29" s="3"/>
      <c r="D29" s="3"/>
      <c r="E29" s="3"/>
      <c r="F29" s="12" t="s">
        <v>151</v>
      </c>
      <c r="G29" s="12">
        <f>1+SUM(G24:G28)</f>
        <v>1.430203622857094</v>
      </c>
      <c r="H29" s="3"/>
      <c r="K29" s="90" t="s">
        <v>135</v>
      </c>
      <c r="L29" s="120">
        <f t="shared" ref="L29:W29" si="22">L36*L$38</f>
        <v>3.1677179021250002E-4</v>
      </c>
      <c r="M29" s="121">
        <f t="shared" si="22"/>
        <v>1.8362952431250001E-3</v>
      </c>
      <c r="N29" s="121">
        <f t="shared" si="22"/>
        <v>1.1058942846E-2</v>
      </c>
      <c r="O29" s="121">
        <f t="shared" si="22"/>
        <v>4.99476419925E-2</v>
      </c>
      <c r="P29" s="121">
        <f t="shared" si="22"/>
        <v>0.1597086169875</v>
      </c>
      <c r="Q29" s="121">
        <f t="shared" si="22"/>
        <v>0.33442998167250004</v>
      </c>
      <c r="R29" s="121">
        <f t="shared" si="22"/>
        <v>0.45842636936250003</v>
      </c>
      <c r="S29" s="121">
        <f t="shared" si="22"/>
        <v>0.49277839159500003</v>
      </c>
      <c r="T29" s="121">
        <f t="shared" si="22"/>
        <v>0.49960393743749998</v>
      </c>
      <c r="U29" s="121">
        <f t="shared" si="22"/>
        <v>0.50283591109500003</v>
      </c>
      <c r="V29" s="121">
        <f t="shared" si="22"/>
        <v>0.50449805652750002</v>
      </c>
      <c r="W29" s="122">
        <f t="shared" si="22"/>
        <v>0.50538393087</v>
      </c>
    </row>
    <row r="30" spans="1:43">
      <c r="K30" s="91" t="s">
        <v>139</v>
      </c>
      <c r="L30" s="123">
        <f t="shared" ref="L30:W30" si="23">L37*L$38</f>
        <v>2.0845210254749998E-4</v>
      </c>
      <c r="M30" s="124">
        <f t="shared" si="23"/>
        <v>9.2472403962749999E-4</v>
      </c>
      <c r="N30" s="124">
        <f t="shared" si="23"/>
        <v>5.3124708645749998E-3</v>
      </c>
      <c r="O30" s="124">
        <f t="shared" si="23"/>
        <v>2.17047735345E-2</v>
      </c>
      <c r="P30" s="124">
        <f t="shared" si="23"/>
        <v>5.3989047372749996E-2</v>
      </c>
      <c r="Q30" s="124">
        <f t="shared" si="23"/>
        <v>6.4810784340750008E-2</v>
      </c>
      <c r="R30" s="124">
        <f t="shared" si="23"/>
        <v>3.1850286704249997E-2</v>
      </c>
      <c r="S30" s="124">
        <f t="shared" si="23"/>
        <v>1.2320509010250001E-2</v>
      </c>
      <c r="T30" s="124">
        <f t="shared" si="23"/>
        <v>7.6490077340249998E-3</v>
      </c>
      <c r="U30" s="124">
        <f t="shared" si="23"/>
        <v>4.9332040941750003E-3</v>
      </c>
      <c r="V30" s="124">
        <f t="shared" si="23"/>
        <v>3.2499372627750002E-3</v>
      </c>
      <c r="W30" s="125">
        <f t="shared" si="23"/>
        <v>2.1931240989E-3</v>
      </c>
    </row>
    <row r="31" spans="1:43" ht="15.75">
      <c r="K31" s="188" t="s">
        <v>320</v>
      </c>
      <c r="L31" s="188"/>
      <c r="M31" s="185"/>
      <c r="N31" s="3"/>
      <c r="O31" s="3"/>
      <c r="P31" s="3"/>
      <c r="Q31" s="3"/>
      <c r="R31" s="3"/>
      <c r="S31" s="3"/>
      <c r="T31" s="3"/>
      <c r="U31" s="3"/>
      <c r="V31" s="3"/>
      <c r="W31" s="3"/>
    </row>
    <row r="32" spans="1:43" ht="15.75">
      <c r="K32" s="82" t="s">
        <v>128</v>
      </c>
      <c r="L32" s="83">
        <v>723</v>
      </c>
      <c r="M32" s="83">
        <v>773</v>
      </c>
      <c r="N32" s="83">
        <v>823</v>
      </c>
      <c r="O32" s="83">
        <v>873</v>
      </c>
      <c r="P32" s="83">
        <v>923</v>
      </c>
      <c r="Q32" s="83">
        <v>973</v>
      </c>
      <c r="R32" s="83">
        <v>1023</v>
      </c>
      <c r="S32" s="83">
        <v>1073</v>
      </c>
      <c r="T32" s="83">
        <v>1123</v>
      </c>
      <c r="U32" s="83">
        <v>1173</v>
      </c>
      <c r="V32" s="83">
        <v>1223</v>
      </c>
      <c r="W32" s="84">
        <v>1273</v>
      </c>
    </row>
    <row r="33" spans="7:23" ht="15.75">
      <c r="K33" s="114" t="s">
        <v>201</v>
      </c>
      <c r="L33" s="116">
        <v>0.49984250000000002</v>
      </c>
      <c r="M33" s="116">
        <v>0.49908437999999999</v>
      </c>
      <c r="N33" s="116">
        <v>0.49432380999999997</v>
      </c>
      <c r="O33" s="116">
        <v>0.47216865000000002</v>
      </c>
      <c r="P33" s="186">
        <v>0.39566108999999999</v>
      </c>
      <c r="Q33" s="116">
        <v>0.23390506</v>
      </c>
      <c r="R33" s="116">
        <v>7.9000976000000001E-2</v>
      </c>
      <c r="S33" s="116">
        <v>2.5823875999999999E-2</v>
      </c>
      <c r="T33" s="116">
        <v>1.4477195E-2</v>
      </c>
      <c r="U33" s="116">
        <v>8.6072121000000008E-3</v>
      </c>
      <c r="V33" s="116">
        <v>5.3055478999999997E-3</v>
      </c>
      <c r="W33" s="116">
        <v>3.3882689000000001E-3</v>
      </c>
    </row>
    <row r="34" spans="7:23" ht="15.75">
      <c r="K34" s="114" t="s">
        <v>202</v>
      </c>
      <c r="L34" s="116">
        <v>0.49963812000000002</v>
      </c>
      <c r="M34" s="116">
        <v>0.49817308999999999</v>
      </c>
      <c r="N34" s="116">
        <v>0.48908214</v>
      </c>
      <c r="O34" s="116">
        <v>0.45074901000000001</v>
      </c>
      <c r="P34" s="116">
        <v>0.34237923999999997</v>
      </c>
      <c r="Q34" s="116">
        <v>0.16994277999999999</v>
      </c>
      <c r="R34" s="116">
        <v>4.7567964999999997E-2</v>
      </c>
      <c r="S34" s="116">
        <v>1.3665185E-2</v>
      </c>
      <c r="T34" s="116">
        <v>6.9289028999999997E-3</v>
      </c>
      <c r="U34" s="116">
        <v>3.7392018E-3</v>
      </c>
      <c r="V34" s="116">
        <v>2.0987883E-3</v>
      </c>
      <c r="W34" s="116">
        <v>1.2245002E-3</v>
      </c>
    </row>
    <row r="35" spans="7:23" ht="15.75">
      <c r="K35" s="114" t="s">
        <v>204</v>
      </c>
      <c r="L35" s="116">
        <v>1.0173171E-6</v>
      </c>
      <c r="M35" s="116">
        <v>1.7614449999999999E-5</v>
      </c>
      <c r="N35" s="116">
        <v>4.3672197999999998E-4</v>
      </c>
      <c r="O35" s="116">
        <v>6.4119477000000001E-3</v>
      </c>
      <c r="P35" s="116">
        <v>5.1056469E-2</v>
      </c>
      <c r="Q35" s="116">
        <v>0.20213216000000001</v>
      </c>
      <c r="R35" s="116">
        <v>0.38956562</v>
      </c>
      <c r="S35" s="116">
        <v>0.46201708000000002</v>
      </c>
      <c r="T35" s="116">
        <v>0.47797416999999998</v>
      </c>
      <c r="U35" s="116">
        <v>0.48652444</v>
      </c>
      <c r="V35" s="116">
        <v>0.49148734999999999</v>
      </c>
      <c r="W35" s="116">
        <v>0.49444761999999998</v>
      </c>
    </row>
    <row r="36" spans="7:23" ht="15.75">
      <c r="K36" s="114" t="s">
        <v>203</v>
      </c>
      <c r="L36" s="116">
        <v>3.1262945000000002E-4</v>
      </c>
      <c r="M36" s="116">
        <v>1.8122825000000001E-3</v>
      </c>
      <c r="N36" s="116">
        <v>1.0914327999999999E-2</v>
      </c>
      <c r="O36" s="116">
        <v>4.9294490000000003E-2</v>
      </c>
      <c r="P36" s="116">
        <v>0.15762014999999999</v>
      </c>
      <c r="Q36" s="116">
        <v>0.33005673000000002</v>
      </c>
      <c r="R36" s="116">
        <v>0.45243165000000002</v>
      </c>
      <c r="S36" s="116">
        <v>0.48633446000000002</v>
      </c>
      <c r="T36" s="116">
        <v>0.49307075</v>
      </c>
      <c r="U36" s="116">
        <v>0.49626046000000001</v>
      </c>
      <c r="V36" s="116">
        <v>0.49790087</v>
      </c>
      <c r="W36" s="116">
        <v>0.49877516</v>
      </c>
    </row>
    <row r="37" spans="7:23" ht="15.75">
      <c r="K37" s="114" t="s">
        <v>205</v>
      </c>
      <c r="L37" s="116">
        <v>2.0572622999999999E-4</v>
      </c>
      <c r="M37" s="116">
        <v>9.1263167000000004E-4</v>
      </c>
      <c r="N37" s="116">
        <v>5.2430011000000002E-3</v>
      </c>
      <c r="O37" s="116">
        <v>2.1420946E-2</v>
      </c>
      <c r="P37" s="116">
        <v>5.3283047E-2</v>
      </c>
      <c r="Q37" s="116">
        <v>6.3963271000000002E-2</v>
      </c>
      <c r="R37" s="116">
        <v>3.1433788999999997E-2</v>
      </c>
      <c r="S37" s="116">
        <v>1.2159397000000001E-2</v>
      </c>
      <c r="T37" s="116">
        <v>7.5489837000000002E-3</v>
      </c>
      <c r="U37" s="116">
        <v>4.8686939000000002E-3</v>
      </c>
      <c r="V37" s="116">
        <v>3.2074387000000002E-3</v>
      </c>
      <c r="W37" s="116">
        <v>2.1644452000000002E-3</v>
      </c>
    </row>
    <row r="38" spans="7:23" ht="15.75">
      <c r="K38" s="115" t="s">
        <v>208</v>
      </c>
      <c r="L38" s="33">
        <v>1.01325</v>
      </c>
      <c r="M38" s="33">
        <v>1.01325</v>
      </c>
      <c r="N38" s="33">
        <v>1.01325</v>
      </c>
      <c r="O38" s="33">
        <v>1.01325</v>
      </c>
      <c r="P38" s="33">
        <v>1.01325</v>
      </c>
      <c r="Q38" s="33">
        <v>1.01325</v>
      </c>
      <c r="R38" s="33">
        <v>1.01325</v>
      </c>
      <c r="S38" s="33">
        <v>1.01325</v>
      </c>
      <c r="T38" s="33">
        <v>1.01325</v>
      </c>
      <c r="U38" s="33">
        <v>1.01325</v>
      </c>
      <c r="V38" s="33">
        <v>1.01325</v>
      </c>
      <c r="W38" s="33">
        <v>1.01325</v>
      </c>
    </row>
    <row r="40" spans="7:23">
      <c r="G40" t="s">
        <v>25</v>
      </c>
      <c r="H40" s="30">
        <v>2.6100000000000002E-2</v>
      </c>
      <c r="K40" t="s">
        <v>132</v>
      </c>
      <c r="L40">
        <v>0.46321883009297071</v>
      </c>
      <c r="M40">
        <v>0.30041473008702729</v>
      </c>
      <c r="N40">
        <v>0.18081756620174855</v>
      </c>
      <c r="O40">
        <v>9.7268474555063281E-2</v>
      </c>
      <c r="P40">
        <v>4.6575769686696453E-2</v>
      </c>
      <c r="Q40">
        <v>2.0573156246870988E-2</v>
      </c>
      <c r="R40">
        <v>8.9159601454873207E-3</v>
      </c>
      <c r="S40">
        <v>4.0012034181731819E-3</v>
      </c>
      <c r="T40">
        <v>1.9440730284089938E-3</v>
      </c>
      <c r="U40">
        <v>9.369496209306904E-4</v>
      </c>
      <c r="V40">
        <v>4.2742316808181227E-4</v>
      </c>
      <c r="W40">
        <v>1.8877169086840847E-4</v>
      </c>
    </row>
    <row r="41" spans="7:23">
      <c r="G41" t="s">
        <v>23</v>
      </c>
      <c r="H41" s="33">
        <v>-37641</v>
      </c>
      <c r="K41" t="s">
        <v>141</v>
      </c>
      <c r="L41">
        <v>2.1211387863091162</v>
      </c>
      <c r="M41">
        <v>1.7391213578341935</v>
      </c>
      <c r="N41">
        <v>1.4568418540576182</v>
      </c>
      <c r="O41">
        <v>1.2555590048144305</v>
      </c>
      <c r="P41">
        <v>1.1287717985256405</v>
      </c>
      <c r="Q41">
        <v>1.0603713198364482</v>
      </c>
      <c r="R41">
        <v>1.0279123188268076</v>
      </c>
      <c r="S41">
        <v>1.0134080185598371</v>
      </c>
      <c r="T41">
        <v>1.006991376977824</v>
      </c>
      <c r="U41">
        <v>1.0038763459167759</v>
      </c>
      <c r="V41">
        <v>1.0024706825870389</v>
      </c>
      <c r="W41">
        <v>1.0015669126638582</v>
      </c>
    </row>
    <row r="43" spans="7:23">
      <c r="G43" t="s">
        <v>25</v>
      </c>
      <c r="H43" s="30">
        <v>0.57709999999999995</v>
      </c>
      <c r="K43" t="s">
        <v>132</v>
      </c>
      <c r="L43">
        <v>1.1164596695791138</v>
      </c>
      <c r="M43">
        <v>0.83567800485833976</v>
      </c>
      <c r="N43">
        <v>0.57049805038219803</v>
      </c>
      <c r="O43">
        <v>0.34309641358830234</v>
      </c>
      <c r="P43">
        <v>0.18146278181803521</v>
      </c>
      <c r="Q43">
        <v>8.763421944508766E-2</v>
      </c>
      <c r="R43">
        <v>4.1162218582347747E-2</v>
      </c>
      <c r="S43">
        <v>1.9871067098639346E-2</v>
      </c>
      <c r="T43">
        <v>1.0318587444785835E-2</v>
      </c>
      <c r="U43">
        <v>5.2849296651855263E-3</v>
      </c>
      <c r="V43">
        <v>2.5493910211358828E-3</v>
      </c>
      <c r="W43">
        <v>1.1854010427285583E-3</v>
      </c>
    </row>
    <row r="44" spans="7:23">
      <c r="G44" t="s">
        <v>23</v>
      </c>
      <c r="H44" s="33">
        <v>-9262</v>
      </c>
      <c r="K44" t="s">
        <v>141</v>
      </c>
      <c r="L44">
        <v>2.7743796257952593</v>
      </c>
      <c r="M44">
        <v>2.2743846326055062</v>
      </c>
      <c r="N44">
        <v>1.8465223382380676</v>
      </c>
      <c r="O44">
        <v>1.5013869438476697</v>
      </c>
      <c r="P44">
        <v>1.2636588106569793</v>
      </c>
      <c r="Q44">
        <v>1.1274323830346646</v>
      </c>
      <c r="R44">
        <v>1.0601585772636679</v>
      </c>
      <c r="S44">
        <v>1.0292778822403033</v>
      </c>
      <c r="T44">
        <v>1.0153658913942007</v>
      </c>
      <c r="U44">
        <v>1.0082243259610306</v>
      </c>
      <c r="V44">
        <v>1.0045926504400928</v>
      </c>
      <c r="W44">
        <v>1.0025635420157184</v>
      </c>
    </row>
    <row r="46" spans="7:23">
      <c r="K46" t="s">
        <v>216</v>
      </c>
      <c r="L46" s="81">
        <f>((L44-L41)/L41)</f>
        <v>0.30796704284626925</v>
      </c>
      <c r="M46" s="81">
        <f t="shared" ref="M46:W46" si="24">((M44-M41)/M41)</f>
        <v>0.30777798936234113</v>
      </c>
      <c r="N46" s="81">
        <f t="shared" si="24"/>
        <v>0.26748303743134866</v>
      </c>
      <c r="O46" s="81">
        <f t="shared" si="24"/>
        <v>0.19579162595355057</v>
      </c>
      <c r="P46" s="81">
        <f t="shared" si="24"/>
        <v>0.11949892113492132</v>
      </c>
      <c r="Q46" s="81">
        <f t="shared" si="24"/>
        <v>6.3242999828173385E-2</v>
      </c>
      <c r="R46" s="81">
        <f t="shared" si="24"/>
        <v>3.1370631372201224E-2</v>
      </c>
      <c r="S46" s="81">
        <f t="shared" si="24"/>
        <v>1.5659895510812091E-2</v>
      </c>
      <c r="T46" s="81">
        <f t="shared" si="24"/>
        <v>8.3163715279372594E-3</v>
      </c>
      <c r="U46" s="81">
        <f t="shared" si="24"/>
        <v>4.3311908502874511E-3</v>
      </c>
      <c r="V46" s="81">
        <f t="shared" si="24"/>
        <v>2.1167380651750129E-3</v>
      </c>
      <c r="W46" s="81">
        <f t="shared" si="24"/>
        <v>9.9507016381906316E-4</v>
      </c>
    </row>
    <row r="48" spans="7:23">
      <c r="K48" t="s">
        <v>253</v>
      </c>
    </row>
    <row r="49" spans="6:23">
      <c r="K49" t="s">
        <v>251</v>
      </c>
      <c r="L49" s="5">
        <f t="shared" ref="L49:W49" si="25">(L15*0.001)/(L17)</f>
        <v>19.626151808699561</v>
      </c>
      <c r="M49" s="5">
        <f t="shared" si="25"/>
        <v>4.2559025010630815</v>
      </c>
      <c r="N49" s="5">
        <f t="shared" si="25"/>
        <v>0.77450984047339133</v>
      </c>
      <c r="O49" s="5">
        <f t="shared" si="25"/>
        <v>0.17844782628429276</v>
      </c>
      <c r="P49" s="5">
        <f t="shared" si="25"/>
        <v>4.939744474975899E-2</v>
      </c>
      <c r="Q49" s="5">
        <f t="shared" si="25"/>
        <v>1.3780366455557401E-2</v>
      </c>
      <c r="R49" s="5">
        <f t="shared" si="25"/>
        <v>3.1672953966865149E-3</v>
      </c>
      <c r="S49" s="5">
        <f t="shared" si="25"/>
        <v>9.0291663438424969E-4</v>
      </c>
      <c r="T49" s="5">
        <f t="shared" si="25"/>
        <v>4.748321777954998E-4</v>
      </c>
      <c r="U49" s="5">
        <f t="shared" si="25"/>
        <v>2.6804622600631363E-4</v>
      </c>
      <c r="V49" s="5">
        <f t="shared" si="25"/>
        <v>1.5803046113349879E-4</v>
      </c>
      <c r="W49" s="5">
        <f t="shared" si="25"/>
        <v>9.702810284350874E-5</v>
      </c>
    </row>
    <row r="50" spans="6:23">
      <c r="K50" t="s">
        <v>254</v>
      </c>
    </row>
    <row r="51" spans="6:23">
      <c r="K51" t="s">
        <v>252</v>
      </c>
      <c r="L51" s="5">
        <f t="shared" ref="L51:W51" si="26">L16*L17*L20^2</f>
        <v>1.1962281656778033E-4</v>
      </c>
      <c r="M51" s="5">
        <f t="shared" si="26"/>
        <v>2.5123600379161839E-4</v>
      </c>
      <c r="N51" s="5">
        <f t="shared" si="26"/>
        <v>6.8701928993402186E-4</v>
      </c>
      <c r="O51" s="5">
        <f t="shared" si="26"/>
        <v>1.4301403690870193E-3</v>
      </c>
      <c r="P51" s="5">
        <f t="shared" si="26"/>
        <v>1.778951090924504E-3</v>
      </c>
      <c r="Q51" s="5">
        <f t="shared" si="26"/>
        <v>9.7848683893329066E-4</v>
      </c>
      <c r="R51" s="5">
        <f t="shared" si="26"/>
        <v>2.358657582162948E-4</v>
      </c>
      <c r="S51" s="5">
        <f t="shared" si="26"/>
        <v>5.5686811483187451E-5</v>
      </c>
      <c r="T51" s="5">
        <f t="shared" si="26"/>
        <v>2.3417926092707711E-5</v>
      </c>
      <c r="U51" s="5">
        <f t="shared" si="26"/>
        <v>1.0652725911110052E-5</v>
      </c>
      <c r="V51" s="5">
        <f t="shared" si="26"/>
        <v>5.1103905442372834E-6</v>
      </c>
      <c r="W51" s="5">
        <f t="shared" si="26"/>
        <v>2.579220240505782E-6</v>
      </c>
    </row>
    <row r="53" spans="6:23" ht="15.75">
      <c r="K53" s="88" t="s">
        <v>128</v>
      </c>
      <c r="L53" s="32">
        <v>723</v>
      </c>
      <c r="M53" s="32">
        <v>773</v>
      </c>
      <c r="N53" s="32">
        <v>823</v>
      </c>
      <c r="O53" s="32">
        <v>873</v>
      </c>
      <c r="P53" s="32">
        <v>923</v>
      </c>
      <c r="Q53" s="32">
        <v>973</v>
      </c>
      <c r="R53" s="32">
        <v>1023</v>
      </c>
      <c r="S53" s="32">
        <v>1073</v>
      </c>
      <c r="T53" s="32">
        <v>1123</v>
      </c>
      <c r="U53" s="32">
        <v>1173</v>
      </c>
      <c r="V53" s="32">
        <v>1223</v>
      </c>
      <c r="W53" s="89">
        <v>1273</v>
      </c>
    </row>
    <row r="54" spans="6:23" ht="15.75">
      <c r="F54" s="26" t="s">
        <v>145</v>
      </c>
      <c r="G54" t="s">
        <v>146</v>
      </c>
      <c r="H54" s="30">
        <f>'Domain-Shift'!C15</f>
        <v>1.494</v>
      </c>
      <c r="I54" t="s">
        <v>15</v>
      </c>
      <c r="K54" s="92" t="s">
        <v>146</v>
      </c>
      <c r="L54" s="7">
        <f>($H54*EXP(-$H55/($C$1*L$53)))</f>
        <v>4.0705677320347018</v>
      </c>
      <c r="M54" s="7">
        <f t="shared" ref="M54:W54" si="27">($H54*EXP(-$H55/($C$1*M$53)))</f>
        <v>3.815031856175009</v>
      </c>
      <c r="N54" s="7">
        <f t="shared" si="27"/>
        <v>3.603815869101815</v>
      </c>
      <c r="O54" s="7">
        <f t="shared" si="27"/>
        <v>3.4265763821623247</v>
      </c>
      <c r="P54" s="7">
        <f t="shared" si="27"/>
        <v>3.2759040616287054</v>
      </c>
      <c r="Q54" s="7">
        <f t="shared" si="27"/>
        <v>3.1463646078751615</v>
      </c>
      <c r="R54" s="7">
        <f t="shared" si="27"/>
        <v>3.0338893664263815</v>
      </c>
      <c r="S54" s="7">
        <f t="shared" si="27"/>
        <v>2.9353764514175951</v>
      </c>
      <c r="T54" s="7">
        <f t="shared" si="27"/>
        <v>2.8484227555859949</v>
      </c>
      <c r="U54" s="7">
        <f t="shared" si="27"/>
        <v>2.7711396811916371</v>
      </c>
      <c r="V54" s="7">
        <f t="shared" si="27"/>
        <v>2.7020237914390526</v>
      </c>
      <c r="W54" s="7">
        <f t="shared" si="27"/>
        <v>2.6398643128056749</v>
      </c>
    </row>
    <row r="55" spans="6:23" ht="15">
      <c r="F55" s="15" t="s">
        <v>323</v>
      </c>
      <c r="G55" t="s">
        <v>324</v>
      </c>
      <c r="H55" s="127">
        <f>'Domain-Shift'!C16</f>
        <v>-6025</v>
      </c>
      <c r="I55" t="s">
        <v>39</v>
      </c>
      <c r="J55" t="s">
        <v>322</v>
      </c>
      <c r="K55" s="92" t="s">
        <v>134</v>
      </c>
      <c r="L55" s="7">
        <f t="shared" ref="L55:W55" si="28">SQRT(($H54*EXP(-$H55/($C$1*L$53)))*L$28)</f>
        <v>2.0483962461237421E-3</v>
      </c>
      <c r="M55" s="7">
        <f t="shared" si="28"/>
        <v>8.25167157268142E-3</v>
      </c>
      <c r="N55" s="7">
        <f t="shared" si="28"/>
        <v>3.9933936960120361E-2</v>
      </c>
      <c r="O55" s="7">
        <f t="shared" si="28"/>
        <v>0.14920504241077243</v>
      </c>
      <c r="P55" s="7">
        <f t="shared" si="28"/>
        <v>0.41167005892737235</v>
      </c>
      <c r="Q55" s="7">
        <f t="shared" si="28"/>
        <v>0.80275041505584377</v>
      </c>
      <c r="R55" s="7">
        <f t="shared" si="28"/>
        <v>1.0943304590880554</v>
      </c>
      <c r="S55" s="7">
        <f t="shared" si="28"/>
        <v>1.1722472555041947</v>
      </c>
      <c r="T55" s="7">
        <f t="shared" si="28"/>
        <v>1.1745262930506348</v>
      </c>
      <c r="U55" s="7">
        <f t="shared" si="28"/>
        <v>1.1687990382050819</v>
      </c>
      <c r="V55" s="7">
        <f t="shared" si="28"/>
        <v>1.1600028673185006</v>
      </c>
      <c r="W55" s="7">
        <f t="shared" si="28"/>
        <v>1.1500302236863233</v>
      </c>
    </row>
  </sheetData>
  <mergeCells count="6">
    <mergeCell ref="B23:D23"/>
    <mergeCell ref="F3:H3"/>
    <mergeCell ref="B16:D16"/>
    <mergeCell ref="F16:G16"/>
    <mergeCell ref="B17:D17"/>
    <mergeCell ref="F17:G1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7E1E3-C9EC-4DD5-932C-6CB12A582211}">
  <sheetPr>
    <tabColor theme="4" tint="-0.249977111117893"/>
  </sheetPr>
  <dimension ref="A1:T74"/>
  <sheetViews>
    <sheetView zoomScale="85" zoomScaleNormal="85" workbookViewId="0">
      <selection activeCell="A80" sqref="A80"/>
    </sheetView>
  </sheetViews>
  <sheetFormatPr baseColWidth="10" defaultRowHeight="14.25"/>
  <cols>
    <col min="1" max="1" width="12.5" customWidth="1"/>
    <col min="2" max="2" width="12.5" bestFit="1" customWidth="1"/>
    <col min="3" max="3" width="11.875" customWidth="1"/>
    <col min="7" max="7" width="15.875" bestFit="1" customWidth="1"/>
    <col min="8" max="8" width="14" bestFit="1" customWidth="1"/>
    <col min="9" max="19" width="13.75" bestFit="1" customWidth="1"/>
  </cols>
  <sheetData>
    <row r="1" spans="1:19" ht="15.75">
      <c r="A1" s="12"/>
      <c r="B1" s="25" t="s">
        <v>120</v>
      </c>
      <c r="C1" s="26">
        <v>8.3140000000000001</v>
      </c>
      <c r="D1" s="26" t="s">
        <v>121</v>
      </c>
      <c r="E1" s="26"/>
    </row>
    <row r="2" spans="1:19" ht="15.75">
      <c r="A2" s="12"/>
      <c r="B2" s="25" t="s">
        <v>122</v>
      </c>
      <c r="C2" s="27">
        <v>723</v>
      </c>
      <c r="D2" s="26" t="s">
        <v>5</v>
      </c>
      <c r="E2" s="26"/>
    </row>
    <row r="3" spans="1:19" s="11" customFormat="1" ht="15">
      <c r="A3" s="13" t="s">
        <v>107</v>
      </c>
    </row>
    <row r="4" spans="1:19" s="12" customFormat="1">
      <c r="A4" s="12" t="s">
        <v>63</v>
      </c>
      <c r="B4" s="12" t="s">
        <v>65</v>
      </c>
      <c r="C4" s="12" t="s">
        <v>176</v>
      </c>
      <c r="D4" s="12" t="s">
        <v>64</v>
      </c>
      <c r="E4" s="12" t="s">
        <v>263</v>
      </c>
      <c r="F4" s="12" t="s">
        <v>3</v>
      </c>
    </row>
    <row r="5" spans="1:19" ht="15">
      <c r="A5" s="9" t="s">
        <v>110</v>
      </c>
      <c r="B5" s="127">
        <v>5.0000000000000003E-10</v>
      </c>
      <c r="C5" s="127">
        <v>1.0000000000000001E-9</v>
      </c>
      <c r="D5" s="157">
        <v>4.9999999999999998E-8</v>
      </c>
      <c r="E5" s="126"/>
      <c r="F5" t="s">
        <v>101</v>
      </c>
      <c r="G5" s="74" t="s">
        <v>126</v>
      </c>
      <c r="H5" s="50"/>
      <c r="I5" s="50"/>
      <c r="J5" s="50"/>
      <c r="K5" s="50"/>
      <c r="L5" s="50"/>
      <c r="M5" s="50"/>
      <c r="N5" s="50"/>
      <c r="O5" s="50"/>
      <c r="P5" s="50"/>
      <c r="Q5" s="50"/>
      <c r="R5" s="50"/>
      <c r="S5" s="51"/>
    </row>
    <row r="6" spans="1:19" ht="15">
      <c r="A6" s="9" t="s">
        <v>66</v>
      </c>
      <c r="B6" s="116">
        <f>'Surface Renewal'!B5</f>
        <v>30</v>
      </c>
      <c r="C6" s="116">
        <v>50</v>
      </c>
      <c r="D6" s="158">
        <f>'Surface Renewal'!C5</f>
        <v>80</v>
      </c>
      <c r="E6" s="116">
        <v>0.1</v>
      </c>
      <c r="G6" s="77" t="s">
        <v>128</v>
      </c>
      <c r="H6" s="50">
        <v>723</v>
      </c>
      <c r="I6" s="50">
        <v>773</v>
      </c>
      <c r="J6" s="50">
        <v>823</v>
      </c>
      <c r="K6" s="50">
        <v>873</v>
      </c>
      <c r="L6" s="50">
        <v>923</v>
      </c>
      <c r="M6" s="50">
        <v>973</v>
      </c>
      <c r="N6" s="50">
        <v>1023</v>
      </c>
      <c r="O6" s="50">
        <v>1073</v>
      </c>
      <c r="P6" s="50">
        <v>1123</v>
      </c>
      <c r="Q6" s="50">
        <v>1173</v>
      </c>
      <c r="R6" s="50">
        <v>1223</v>
      </c>
      <c r="S6" s="51">
        <v>1273</v>
      </c>
    </row>
    <row r="7" spans="1:19" ht="15">
      <c r="A7" s="9" t="s">
        <v>111</v>
      </c>
      <c r="B7" s="5">
        <f>SQRT(D5/D6)</f>
        <v>2.5000000000000001E-5</v>
      </c>
      <c r="C7" s="5">
        <f>SQRT(C5/C6)</f>
        <v>4.4721359549995799E-6</v>
      </c>
      <c r="D7" s="5">
        <f>SQRT(B5/B6)</f>
        <v>4.0824829046386299E-6</v>
      </c>
      <c r="E7" s="162">
        <f>SQRT(C5/E6)</f>
        <v>1E-4</v>
      </c>
      <c r="F7" t="s">
        <v>101</v>
      </c>
      <c r="G7" s="75" t="s">
        <v>129</v>
      </c>
      <c r="H7" s="74">
        <f>'Ads equilibria Ω'!L26</f>
        <v>0.50646541312500004</v>
      </c>
      <c r="I7" s="50">
        <f>'Ads equilibria Ω'!M26</f>
        <v>0.50569724803499994</v>
      </c>
      <c r="J7" s="50">
        <f>'Ads equilibria Ω'!N26</f>
        <v>0.50087360048249996</v>
      </c>
      <c r="K7" s="50">
        <f>'Ads equilibria Ω'!O26</f>
        <v>0.47842488461249999</v>
      </c>
      <c r="L7" s="50">
        <f>'Ads equilibria Ω'!P26</f>
        <v>0.40090359944249998</v>
      </c>
      <c r="M7" s="50">
        <f>'Ads equilibria Ω'!Q26</f>
        <v>0.237004302045</v>
      </c>
      <c r="N7" s="50">
        <f>'Ads equilibria Ω'!R26</f>
        <v>8.0047738931999998E-2</v>
      </c>
      <c r="O7" s="50">
        <f>'Ads equilibria Ω'!S26</f>
        <v>2.6166042356999999E-2</v>
      </c>
      <c r="P7" s="50">
        <f>'Ads equilibria Ω'!T26</f>
        <v>1.4669017833749999E-2</v>
      </c>
      <c r="Q7" s="50">
        <f>'Ads equilibria Ω'!U26</f>
        <v>8.7212576603250009E-3</v>
      </c>
      <c r="R7" s="50">
        <f>'Ads equilibria Ω'!V26</f>
        <v>5.3758464096749997E-3</v>
      </c>
      <c r="S7" s="51">
        <f>'Ads equilibria Ω'!W26</f>
        <v>3.4331634629249999E-3</v>
      </c>
    </row>
    <row r="8" spans="1:19" ht="15">
      <c r="A8" s="9"/>
      <c r="B8" s="5">
        <f>SQRT(D5/B6)</f>
        <v>4.0824829046386298E-5</v>
      </c>
      <c r="C8" s="5">
        <f>SQRT(C5/D6)</f>
        <v>3.5355339059327378E-6</v>
      </c>
      <c r="D8" s="5">
        <f>SQRT(B5/D6)</f>
        <v>2.5000000000000002E-6</v>
      </c>
      <c r="E8" s="162">
        <f>SQRT(D5/E6)</f>
        <v>7.0710678118654751E-4</v>
      </c>
      <c r="G8" s="75" t="s">
        <v>131</v>
      </c>
      <c r="H8" s="75">
        <f>'Ads equilibria Ω'!L27</f>
        <v>0.50625832509000002</v>
      </c>
      <c r="I8">
        <f>'Ads equilibria Ω'!M27</f>
        <v>0.50477388344249996</v>
      </c>
      <c r="J8">
        <f>'Ads equilibria Ω'!N27</f>
        <v>0.495562478355</v>
      </c>
      <c r="K8">
        <f>'Ads equilibria Ω'!O27</f>
        <v>0.45672143438250001</v>
      </c>
      <c r="L8">
        <f>'Ads equilibria Ω'!P27</f>
        <v>0.34691576492999998</v>
      </c>
      <c r="M8">
        <f>'Ads equilibria Ω'!Q27</f>
        <v>0.17219452183499998</v>
      </c>
      <c r="N8">
        <f>'Ads equilibria Ω'!R27</f>
        <v>4.8198240536249999E-2</v>
      </c>
      <c r="O8">
        <f>'Ads equilibria Ω'!S27</f>
        <v>1.3846248701249999E-2</v>
      </c>
      <c r="P8">
        <f>'Ads equilibria Ω'!T27</f>
        <v>7.0207108634249994E-3</v>
      </c>
      <c r="Q8">
        <f>'Ads equilibria Ω'!U27</f>
        <v>3.7887462238500001E-3</v>
      </c>
      <c r="R8">
        <f>'Ads equilibria Ω'!V27</f>
        <v>2.126597244975E-3</v>
      </c>
      <c r="S8" s="67">
        <f>'Ads equilibria Ω'!W27</f>
        <v>1.2407248276499999E-3</v>
      </c>
    </row>
    <row r="9" spans="1:19" ht="15">
      <c r="A9" s="9" t="s">
        <v>112</v>
      </c>
      <c r="B9" s="33">
        <v>200</v>
      </c>
      <c r="C9" s="33">
        <v>200</v>
      </c>
      <c r="D9" s="159">
        <v>200</v>
      </c>
      <c r="E9" s="159"/>
      <c r="F9" t="s">
        <v>113</v>
      </c>
      <c r="G9" s="75" t="s">
        <v>133</v>
      </c>
      <c r="H9" s="75">
        <f>'Ads equilibria Ω'!L28</f>
        <v>1.0307965515749999E-6</v>
      </c>
      <c r="I9">
        <f>'Ads equilibria Ω'!M28</f>
        <v>1.7847841462499997E-5</v>
      </c>
      <c r="J9">
        <f>'Ads equilibria Ω'!N28</f>
        <v>4.4250854623499998E-4</v>
      </c>
      <c r="K9">
        <f>'Ads equilibria Ω'!O28</f>
        <v>6.4969060070249997E-3</v>
      </c>
      <c r="L9">
        <f>'Ads equilibria Ω'!P28</f>
        <v>5.1732967214249997E-2</v>
      </c>
      <c r="M9">
        <f>'Ads equilibria Ω'!Q28</f>
        <v>0.20481041112000001</v>
      </c>
      <c r="N9">
        <f>'Ads equilibria Ω'!R28</f>
        <v>0.39472736446500001</v>
      </c>
      <c r="O9">
        <f>'Ads equilibria Ω'!S28</f>
        <v>0.46813880631000004</v>
      </c>
      <c r="P9">
        <f>'Ads equilibria Ω'!T28</f>
        <v>0.48430732775249996</v>
      </c>
      <c r="Q9">
        <f>'Ads equilibria Ω'!U28</f>
        <v>0.49297088883000001</v>
      </c>
      <c r="R9">
        <f>'Ads equilibria Ω'!V28</f>
        <v>0.49799955738749996</v>
      </c>
      <c r="S9" s="67">
        <f>'Ads equilibria Ω'!W28</f>
        <v>0.50099905096499997</v>
      </c>
    </row>
    <row r="10" spans="1:19" ht="15">
      <c r="A10" s="9" t="s">
        <v>103</v>
      </c>
      <c r="B10" s="152">
        <f>'Mass Transfer '!B10</f>
        <v>250</v>
      </c>
      <c r="C10" s="152">
        <f>'Mass Transfer '!C10</f>
        <v>6400</v>
      </c>
      <c r="D10" s="160">
        <f>'Mass Transfer '!C10</f>
        <v>6400</v>
      </c>
      <c r="E10" s="160"/>
      <c r="F10" t="s">
        <v>104</v>
      </c>
      <c r="G10" s="75" t="s">
        <v>135</v>
      </c>
      <c r="H10" s="75">
        <f>'Ads equilibria Ω'!L29</f>
        <v>3.1677179021250002E-4</v>
      </c>
      <c r="I10">
        <f>'Ads equilibria Ω'!M29</f>
        <v>1.8362952431250001E-3</v>
      </c>
      <c r="J10">
        <f>'Ads equilibria Ω'!N29</f>
        <v>1.1058942846E-2</v>
      </c>
      <c r="K10">
        <f>'Ads equilibria Ω'!O29</f>
        <v>4.99476419925E-2</v>
      </c>
      <c r="L10">
        <f>'Ads equilibria Ω'!P29</f>
        <v>0.1597086169875</v>
      </c>
      <c r="M10">
        <f>'Ads equilibria Ω'!Q29</f>
        <v>0.33442998167250004</v>
      </c>
      <c r="N10">
        <f>'Ads equilibria Ω'!R29</f>
        <v>0.45842636936250003</v>
      </c>
      <c r="O10">
        <f>'Ads equilibria Ω'!S29</f>
        <v>0.49277839159500003</v>
      </c>
      <c r="P10">
        <f>'Ads equilibria Ω'!T29</f>
        <v>0.49960393743749998</v>
      </c>
      <c r="Q10">
        <f>'Ads equilibria Ω'!U29</f>
        <v>0.50283591109500003</v>
      </c>
      <c r="R10">
        <f>'Ads equilibria Ω'!V29</f>
        <v>0.50449805652750002</v>
      </c>
      <c r="S10" s="67">
        <f>'Ads equilibria Ω'!W29</f>
        <v>0.50538393087</v>
      </c>
    </row>
    <row r="11" spans="1:19" ht="15">
      <c r="A11" s="9" t="s">
        <v>115</v>
      </c>
      <c r="B11" s="150">
        <v>5</v>
      </c>
      <c r="C11" s="150">
        <v>20</v>
      </c>
      <c r="D11" s="161">
        <v>50</v>
      </c>
      <c r="E11" s="150"/>
      <c r="F11" s="151" t="s">
        <v>116</v>
      </c>
      <c r="G11" s="54" t="s">
        <v>139</v>
      </c>
      <c r="H11" s="76">
        <f>'Ads equilibria Ω'!L30</f>
        <v>2.0845210254749998E-4</v>
      </c>
      <c r="I11" s="49">
        <f>'Ads equilibria Ω'!M30</f>
        <v>9.2472403962749999E-4</v>
      </c>
      <c r="J11" s="49">
        <f>'Ads equilibria Ω'!N30</f>
        <v>5.3124708645749998E-3</v>
      </c>
      <c r="K11" s="49">
        <f>'Ads equilibria Ω'!O30</f>
        <v>2.17047735345E-2</v>
      </c>
      <c r="L11" s="49">
        <f>'Ads equilibria Ω'!P30</f>
        <v>5.3989047372749996E-2</v>
      </c>
      <c r="M11" s="49">
        <f>'Ads equilibria Ω'!Q30</f>
        <v>6.4810784340750008E-2</v>
      </c>
      <c r="N11" s="49">
        <f>'Ads equilibria Ω'!R30</f>
        <v>3.1850286704249997E-2</v>
      </c>
      <c r="O11" s="49">
        <f>'Ads equilibria Ω'!S30</f>
        <v>1.2320509010250001E-2</v>
      </c>
      <c r="P11" s="49">
        <f>'Ads equilibria Ω'!T30</f>
        <v>7.6490077340249998E-3</v>
      </c>
      <c r="Q11" s="49">
        <f>'Ads equilibria Ω'!U30</f>
        <v>4.9332040941750003E-3</v>
      </c>
      <c r="R11" s="49">
        <f>'Ads equilibria Ω'!V30</f>
        <v>3.2499372627750002E-3</v>
      </c>
      <c r="S11" s="52">
        <f>'Ads equilibria Ω'!W30</f>
        <v>2.1931240989E-3</v>
      </c>
    </row>
    <row r="12" spans="1:19">
      <c r="G12" s="79" t="s">
        <v>144</v>
      </c>
      <c r="H12" s="49">
        <f>'Ads equilibria Ω'!L21</f>
        <v>5.4292410596196268</v>
      </c>
      <c r="I12" s="49">
        <f>'Ads equilibria Ω'!M21</f>
        <v>4.11833023920126</v>
      </c>
      <c r="J12" s="49">
        <f>'Ads equilibria Ω'!N21</f>
        <v>3.2865624586219742</v>
      </c>
      <c r="K12" s="49">
        <f>'Ads equilibria Ω'!O21</f>
        <v>2.6535930697633185</v>
      </c>
      <c r="L12" s="49">
        <f>'Ads equilibria Ω'!P21</f>
        <v>2.0386475271775528</v>
      </c>
      <c r="M12" s="49">
        <f>'Ads equilibria Ω'!Q21</f>
        <v>1.4603280393790214</v>
      </c>
      <c r="N12" s="49">
        <f>'Ads equilibria Ω'!R21</f>
        <v>1.1368313649931392</v>
      </c>
      <c r="O12" s="49">
        <f>'Ads equilibria Ω'!S21</f>
        <v>1.054078504894236</v>
      </c>
      <c r="P12" s="49">
        <f>'Ads equilibria Ω'!T21</f>
        <v>1.0368419737911079</v>
      </c>
      <c r="Q12" s="49">
        <f>'Ads equilibria Ω'!U21</f>
        <v>1.0284447521554625</v>
      </c>
      <c r="R12" s="49">
        <f>'Ads equilibria Ω'!V21</f>
        <v>1.023783411653149</v>
      </c>
      <c r="S12" s="52">
        <f>'Ads equilibria Ω'!W21</f>
        <v>1.0209401874054547</v>
      </c>
    </row>
    <row r="13" spans="1:19" s="15" customFormat="1" ht="15">
      <c r="A13" s="15" t="s">
        <v>114</v>
      </c>
    </row>
    <row r="14" spans="1:19" ht="15">
      <c r="A14" s="15"/>
      <c r="B14" s="47">
        <f>(B$5/B7)*B$11*(B$9/C$10)</f>
        <v>3.1250000000000001E-6</v>
      </c>
      <c r="C14" s="47">
        <f t="shared" ref="C14:D15" si="0">(C$5/C7)*C$11*(C$9/C$10)</f>
        <v>1.3975424859373684E-4</v>
      </c>
      <c r="D14" s="47">
        <f t="shared" si="0"/>
        <v>1.9136638615493581E-2</v>
      </c>
      <c r="E14" s="47">
        <f>(B$5/E7)*B$11*(D$9/D$10)</f>
        <v>7.8125000000000004E-7</v>
      </c>
      <c r="F14" s="47">
        <f>(B$5/E8)*B$11*(D$9/D$10)</f>
        <v>1.1048543456039806E-7</v>
      </c>
    </row>
    <row r="15" spans="1:19" ht="15">
      <c r="A15" s="15"/>
      <c r="B15" s="47">
        <f>(B$5/B8)*B$11*(B$9/C$10)</f>
        <v>1.9136638615493581E-6</v>
      </c>
      <c r="C15" s="47">
        <f t="shared" si="0"/>
        <v>1.7677669529663688E-4</v>
      </c>
      <c r="D15" s="47">
        <f t="shared" si="0"/>
        <v>3.1249999999999997E-2</v>
      </c>
      <c r="E15" s="47">
        <f>(D$5/D8)*D$11*(D$9/D$10)</f>
        <v>3.1249999999999997E-2</v>
      </c>
    </row>
    <row r="16" spans="1:19" ht="15">
      <c r="A16" s="15"/>
      <c r="B16" s="47"/>
      <c r="C16" s="47"/>
      <c r="D16" s="47"/>
      <c r="E16" s="47"/>
    </row>
    <row r="17" spans="1:19" s="15" customFormat="1" ht="15">
      <c r="A17" s="15" t="s">
        <v>117</v>
      </c>
      <c r="G17" s="15" t="s">
        <v>174</v>
      </c>
      <c r="H17" s="48">
        <v>723</v>
      </c>
      <c r="I17" s="48">
        <v>773</v>
      </c>
      <c r="J17" s="48">
        <v>823</v>
      </c>
      <c r="K17" s="48">
        <v>873</v>
      </c>
      <c r="L17" s="48">
        <v>923</v>
      </c>
      <c r="M17" s="48">
        <v>973</v>
      </c>
      <c r="N17" s="48">
        <v>1023</v>
      </c>
      <c r="O17" s="48">
        <v>1073</v>
      </c>
      <c r="P17" s="48">
        <v>1123</v>
      </c>
      <c r="Q17" s="48">
        <v>1173</v>
      </c>
      <c r="R17" s="48">
        <v>1223</v>
      </c>
      <c r="S17" s="48">
        <v>1273</v>
      </c>
    </row>
    <row r="18" spans="1:19" ht="15">
      <c r="A18" s="15"/>
      <c r="B18" t="s">
        <v>46</v>
      </c>
      <c r="C18" s="149">
        <f>'Domain-Shift'!L30</f>
        <v>6950</v>
      </c>
      <c r="D18" t="s">
        <v>13</v>
      </c>
      <c r="G18" s="53" t="s">
        <v>50</v>
      </c>
      <c r="H18" s="156">
        <f>$C$18*EXP(-$C$19/(H17*$C$1))</f>
        <v>5.3700995131985938E-8</v>
      </c>
      <c r="I18" s="156">
        <f t="shared" ref="I18:S18" si="1">$C$18*EXP(-$C$19/(I17*$C$1))</f>
        <v>2.810221673383248E-7</v>
      </c>
      <c r="J18" s="156">
        <f t="shared" si="1"/>
        <v>1.2027209998262772E-6</v>
      </c>
      <c r="K18" s="156">
        <f t="shared" si="1"/>
        <v>4.3577379308745784E-6</v>
      </c>
      <c r="L18" s="156">
        <f t="shared" si="1"/>
        <v>1.3733572330258043E-5</v>
      </c>
      <c r="M18" s="156">
        <f t="shared" si="1"/>
        <v>3.8465406574004219E-5</v>
      </c>
      <c r="N18" s="156">
        <f t="shared" si="1"/>
        <v>9.7416850503122225E-5</v>
      </c>
      <c r="O18" s="156">
        <f t="shared" si="1"/>
        <v>2.2624920087026647E-4</v>
      </c>
      <c r="P18" s="156">
        <f t="shared" si="1"/>
        <v>4.8747566201168388E-4</v>
      </c>
      <c r="Q18" s="156">
        <f t="shared" si="1"/>
        <v>9.8378202377509072E-4</v>
      </c>
      <c r="R18" s="156">
        <f t="shared" si="1"/>
        <v>1.8746084571876597E-3</v>
      </c>
      <c r="S18" s="197">
        <f t="shared" si="1"/>
        <v>3.3956745241251357E-3</v>
      </c>
    </row>
    <row r="19" spans="1:19" ht="15">
      <c r="A19" s="15"/>
      <c r="B19" t="s">
        <v>47</v>
      </c>
      <c r="C19" s="116">
        <f>'Domain-Shift'!L31</f>
        <v>153800</v>
      </c>
      <c r="D19" t="s">
        <v>15</v>
      </c>
      <c r="G19" s="68" t="s">
        <v>185</v>
      </c>
      <c r="H19" s="154">
        <f>($C$20*EXP(-$C$21/(H17*$C$1)))</f>
        <v>0.23629381750977274</v>
      </c>
      <c r="I19" s="154">
        <f t="shared" ref="I19:S19" si="2">($C$20*EXP(-$C$21/(I17*$C$1)))</f>
        <v>0.58623047857413135</v>
      </c>
      <c r="J19" s="154">
        <f t="shared" si="2"/>
        <v>1.3023746784604207</v>
      </c>
      <c r="K19" s="154">
        <f t="shared" si="2"/>
        <v>2.6405450393012151</v>
      </c>
      <c r="L19" s="154">
        <f t="shared" si="2"/>
        <v>4.9590067572955059</v>
      </c>
      <c r="M19" s="154">
        <f t="shared" si="2"/>
        <v>8.7290344808253977</v>
      </c>
      <c r="N19" s="154">
        <f t="shared" si="2"/>
        <v>14.538937943995306</v>
      </c>
      <c r="O19" s="154">
        <f t="shared" si="2"/>
        <v>23.091380876851584</v>
      </c>
      <c r="P19" s="154">
        <f t="shared" si="2"/>
        <v>35.194598210378452</v>
      </c>
      <c r="Q19" s="154">
        <f t="shared" si="2"/>
        <v>51.748631550592634</v>
      </c>
      <c r="R19" s="154">
        <f t="shared" si="2"/>
        <v>73.727957980159445</v>
      </c>
      <c r="S19" s="154">
        <f t="shared" si="2"/>
        <v>102.16192824475718</v>
      </c>
    </row>
    <row r="20" spans="1:19" ht="15">
      <c r="A20" s="15"/>
      <c r="B20" t="s">
        <v>183</v>
      </c>
      <c r="C20" s="149">
        <f>'Domain-Shift'!L40</f>
        <v>298000</v>
      </c>
      <c r="G20" s="9" t="s">
        <v>213</v>
      </c>
      <c r="H20" s="5">
        <f>'Domain-Shift'!U11</f>
        <v>1.5087497265121628</v>
      </c>
      <c r="I20" s="5">
        <f>'Domain-Shift'!V11</f>
        <v>1.1602172955356023</v>
      </c>
      <c r="J20" s="5">
        <f>'Domain-Shift'!W11</f>
        <v>0.92113373864178683</v>
      </c>
      <c r="K20" s="5">
        <f>'Domain-Shift'!X11</f>
        <v>0.75090606817116001</v>
      </c>
      <c r="L20" s="5">
        <f>'Domain-Shift'!Y11</f>
        <v>0.62583885489185143</v>
      </c>
      <c r="M20" s="5">
        <f>'Domain-Shift'!Z11</f>
        <v>0.53146087826594268</v>
      </c>
      <c r="N20" s="5">
        <f>'Domain-Shift'!AA11</f>
        <v>0.45858473324939258</v>
      </c>
      <c r="O20" s="5">
        <f>'Domain-Shift'!AB11</f>
        <v>0.40117816586271926</v>
      </c>
      <c r="P20" s="5">
        <f>'Domain-Shift'!AC11</f>
        <v>0.35516245614872444</v>
      </c>
      <c r="Q20" s="5">
        <f>'Domain-Shift'!AD11</f>
        <v>0.31770751644042827</v>
      </c>
      <c r="R20" s="5">
        <f>'Domain-Shift'!AE11</f>
        <v>0.28680411241705345</v>
      </c>
      <c r="S20" s="5">
        <f>'Domain-Shift'!AF11</f>
        <v>0.26099632445433596</v>
      </c>
    </row>
    <row r="21" spans="1:19" ht="15">
      <c r="A21" s="15"/>
      <c r="B21" t="s">
        <v>184</v>
      </c>
      <c r="C21" s="116">
        <f>'Domain-Shift'!L41</f>
        <v>84440</v>
      </c>
      <c r="G21" s="68" t="s">
        <v>117</v>
      </c>
      <c r="H21" s="155">
        <f>(H$18*H$20*H$7*(1-(H$9^2/(H$19*H$7))))/H$12</f>
        <v>7.5580577439639671E-9</v>
      </c>
      <c r="I21" s="155">
        <f t="shared" ref="I21:S21" si="3">(I$18*I$20*I$7*(1-(I$9^2/(I$19*I$7))))/I$12</f>
        <v>4.0035875975078665E-8</v>
      </c>
      <c r="J21" s="155">
        <f t="shared" si="3"/>
        <v>1.6883936301958143E-7</v>
      </c>
      <c r="K21" s="155">
        <f t="shared" si="3"/>
        <v>5.8994516777508227E-7</v>
      </c>
      <c r="L21" s="155">
        <f t="shared" si="3"/>
        <v>1.6879470703491453E-6</v>
      </c>
      <c r="M21" s="155">
        <f t="shared" si="3"/>
        <v>3.2505076614052085E-6</v>
      </c>
      <c r="N21" s="155">
        <f t="shared" si="3"/>
        <v>2.7244900608629723E-6</v>
      </c>
      <c r="O21" s="155">
        <f t="shared" si="3"/>
        <v>1.4359043048055966E-6</v>
      </c>
      <c r="P21" s="155">
        <f t="shared" si="3"/>
        <v>1.3366073554215007E-6</v>
      </c>
      <c r="Q21" s="155">
        <f t="shared" si="3"/>
        <v>1.223265993920023E-6</v>
      </c>
      <c r="R21" s="155">
        <f t="shared" si="3"/>
        <v>1.0566552255082353E-6</v>
      </c>
      <c r="S21" s="155">
        <f t="shared" si="3"/>
        <v>8.4748909442586812E-7</v>
      </c>
    </row>
    <row r="22" spans="1:19" s="15" customFormat="1" ht="15">
      <c r="A22" s="15" t="s">
        <v>118</v>
      </c>
      <c r="G22" s="15" t="s">
        <v>174</v>
      </c>
      <c r="H22" s="48">
        <v>723</v>
      </c>
      <c r="I22" s="48">
        <v>773</v>
      </c>
      <c r="J22" s="48">
        <v>823</v>
      </c>
      <c r="K22" s="48">
        <v>873</v>
      </c>
      <c r="L22" s="48">
        <v>923</v>
      </c>
      <c r="M22" s="48">
        <v>973</v>
      </c>
      <c r="N22" s="48">
        <v>1023</v>
      </c>
      <c r="O22" s="48">
        <v>1073</v>
      </c>
      <c r="P22" s="48">
        <v>1123</v>
      </c>
      <c r="Q22" s="48">
        <v>1173</v>
      </c>
      <c r="R22" s="48">
        <v>1223</v>
      </c>
      <c r="S22" s="48">
        <v>1273</v>
      </c>
    </row>
    <row r="23" spans="1:19" ht="15">
      <c r="A23" s="15"/>
      <c r="B23" t="s">
        <v>182</v>
      </c>
      <c r="C23" s="149">
        <f>'Domain-Shift'!L32</f>
        <v>1340000000000000</v>
      </c>
      <c r="D23" t="s">
        <v>13</v>
      </c>
      <c r="G23" s="53" t="s">
        <v>188</v>
      </c>
      <c r="H23" s="50">
        <f>$C$23*EXP(-$C$24/(H22*$C$1))</f>
        <v>9.4622042294964591E-18</v>
      </c>
      <c r="I23" s="50">
        <f t="shared" ref="I23:S23" si="4">$C$23*EXP(-$C$24/(I22*$C$1))</f>
        <v>1.1366439152815543E-15</v>
      </c>
      <c r="J23" s="50">
        <f t="shared" si="4"/>
        <v>7.6307521119448779E-14</v>
      </c>
      <c r="K23" s="50">
        <f t="shared" si="4"/>
        <v>3.1640143770580048E-12</v>
      </c>
      <c r="L23" s="50">
        <f t="shared" si="4"/>
        <v>8.7628876367434736E-11</v>
      </c>
      <c r="M23" s="50">
        <f t="shared" si="4"/>
        <v>1.7250932860850498E-9</v>
      </c>
      <c r="N23" s="156">
        <f>$C$23*EXP(-$C$24/(N22*$C$1))</f>
        <v>2.537879810880574E-8</v>
      </c>
      <c r="O23" s="50">
        <f t="shared" si="4"/>
        <v>2.9060806678616432E-7</v>
      </c>
      <c r="P23" s="50">
        <f t="shared" si="4"/>
        <v>2.6782915395388376E-6</v>
      </c>
      <c r="Q23" s="50">
        <f t="shared" si="4"/>
        <v>2.0425781942128982E-5</v>
      </c>
      <c r="R23" s="50">
        <f t="shared" si="4"/>
        <v>1.3193364339248917E-4</v>
      </c>
      <c r="S23" s="66">
        <f t="shared" si="4"/>
        <v>7.3601947269993505E-4</v>
      </c>
    </row>
    <row r="24" spans="1:19" ht="15">
      <c r="A24" s="15"/>
      <c r="B24" t="s">
        <v>181</v>
      </c>
      <c r="C24" s="116">
        <f>'Domain-Shift'!L33</f>
        <v>445000</v>
      </c>
      <c r="D24" t="s">
        <v>15</v>
      </c>
      <c r="G24" s="163" t="s">
        <v>189</v>
      </c>
      <c r="H24" s="154">
        <f>1/(($C$25*EXP(-$C$26/(H22*$C$1))))</f>
        <v>777.08112598842445</v>
      </c>
      <c r="I24" s="154">
        <f t="shared" ref="I24:S24" si="5">1/(($C$25*EXP(-$C$26/(I22*$C$1))))</f>
        <v>126.73132512258164</v>
      </c>
      <c r="J24" s="154">
        <f t="shared" si="5"/>
        <v>25.763099698552068</v>
      </c>
      <c r="K24" s="154">
        <f t="shared" si="5"/>
        <v>6.2858798260986344</v>
      </c>
      <c r="L24" s="154">
        <f t="shared" si="5"/>
        <v>1.7869320397265342</v>
      </c>
      <c r="M24" s="154">
        <f t="shared" si="5"/>
        <v>0.5780849000766034</v>
      </c>
      <c r="N24" s="154">
        <f t="shared" si="5"/>
        <v>0.20882617450759691</v>
      </c>
      <c r="O24" s="154">
        <f t="shared" si="5"/>
        <v>8.2945039831764086E-2</v>
      </c>
      <c r="P24" s="154">
        <f t="shared" si="5"/>
        <v>3.5768715465748203E-2</v>
      </c>
      <c r="Q24" s="154">
        <f t="shared" si="5"/>
        <v>1.6571336492828746E-2</v>
      </c>
      <c r="R24" s="154">
        <f t="shared" si="5"/>
        <v>8.1758618421728796E-3</v>
      </c>
      <c r="S24" s="154">
        <f t="shared" si="5"/>
        <v>4.2639488527602774E-3</v>
      </c>
    </row>
    <row r="25" spans="1:19" ht="15">
      <c r="A25" s="15"/>
      <c r="B25" t="s">
        <v>186</v>
      </c>
      <c r="C25" s="149">
        <f>'Domain-Shift'!L42</f>
        <v>1930000000</v>
      </c>
      <c r="G25" s="9" t="s">
        <v>214</v>
      </c>
      <c r="H25">
        <f>'Domain-Shift'!U14</f>
        <v>3.9254772047904767E-5</v>
      </c>
      <c r="I25">
        <f>'Domain-Shift'!V14</f>
        <v>3.593169315444519E-5</v>
      </c>
      <c r="J25">
        <f>'Domain-Shift'!W14</f>
        <v>3.3245323017715119E-5</v>
      </c>
      <c r="K25">
        <f>'Domain-Shift'!X14</f>
        <v>3.1034809348508868E-5</v>
      </c>
      <c r="L25">
        <f>'Domain-Shift'!Y14</f>
        <v>2.9188046952241488E-5</v>
      </c>
      <c r="M25">
        <f>'Domain-Shift'!Z14</f>
        <v>2.7624811949237583E-5</v>
      </c>
      <c r="N25">
        <f>'Domain-Shift'!AA14</f>
        <v>2.6286359800067319E-5</v>
      </c>
      <c r="O25">
        <f>'Domain-Shift'!AB14</f>
        <v>2.5128797889858798E-5</v>
      </c>
      <c r="P25">
        <f>'Domain-Shift'!AC14</f>
        <v>2.411874073218418E-5</v>
      </c>
      <c r="Q25">
        <f>'Domain-Shift'!AD14</f>
        <v>2.323038875921803E-5</v>
      </c>
      <c r="R25">
        <f>'Domain-Shift'!AE14</f>
        <v>2.2443519569559853E-5</v>
      </c>
      <c r="S25">
        <f>'Domain-Shift'!AF14</f>
        <v>2.1742078490000323E-5</v>
      </c>
    </row>
    <row r="26" spans="1:19" ht="15">
      <c r="A26" s="15"/>
      <c r="B26" t="s">
        <v>187</v>
      </c>
      <c r="C26" s="116">
        <f>'Domain-Shift'!L43</f>
        <v>168527</v>
      </c>
      <c r="G26" s="68" t="s">
        <v>209</v>
      </c>
      <c r="H26" s="155">
        <f>(H$23*H$10*H$25*(1-(H$8/(H$24*H$10*H$10))))/H$12</f>
        <v>-1.4068185100003441E-22</v>
      </c>
      <c r="I26" s="155">
        <f t="shared" ref="I26:S26" si="6">(I$23*I$10*I$25*(1-(I$8/(I$24*I$10*I$10))))/I$12</f>
        <v>-2.1492330601427684E-20</v>
      </c>
      <c r="J26" s="155">
        <f t="shared" si="6"/>
        <v>-1.3340515145744058E-18</v>
      </c>
      <c r="K26" s="155">
        <f t="shared" si="6"/>
        <v>-5.1981613525083703E-17</v>
      </c>
      <c r="L26" s="155">
        <f t="shared" si="6"/>
        <v>-1.3247254507589563E-15</v>
      </c>
      <c r="M26" s="155">
        <f t="shared" si="6"/>
        <v>-1.8152348053604424E-14</v>
      </c>
      <c r="N26" s="155">
        <f t="shared" si="6"/>
        <v>-2.643462056482589E-14</v>
      </c>
      <c r="O26" s="155">
        <f>(O$23*O$10*O$25*(1-(O$8/(O$24*O$10*O$10))))/O$12</f>
        <v>1.067047032914159E-12</v>
      </c>
      <c r="P26" s="155">
        <f t="shared" si="6"/>
        <v>6.6495354640611077E-12</v>
      </c>
      <c r="Q26" s="155">
        <f t="shared" si="6"/>
        <v>2.2215118513436491E-11</v>
      </c>
      <c r="R26" s="155">
        <f t="shared" si="6"/>
        <v>-3.2038700154136899E-11</v>
      </c>
      <c r="S26" s="155">
        <f t="shared" si="6"/>
        <v>-1.103112264334784E-9</v>
      </c>
    </row>
    <row r="27" spans="1:19" s="15" customFormat="1" ht="15">
      <c r="A27" s="15" t="s">
        <v>198</v>
      </c>
      <c r="G27" s="15" t="s">
        <v>174</v>
      </c>
      <c r="H27" s="48">
        <v>723</v>
      </c>
      <c r="I27" s="48">
        <v>773</v>
      </c>
      <c r="J27" s="48">
        <v>823</v>
      </c>
      <c r="K27" s="48">
        <v>873</v>
      </c>
      <c r="L27" s="48">
        <v>923</v>
      </c>
      <c r="M27" s="48">
        <v>973</v>
      </c>
      <c r="N27" s="48">
        <v>1023</v>
      </c>
      <c r="O27" s="48">
        <v>1073</v>
      </c>
      <c r="P27" s="48">
        <v>1123</v>
      </c>
      <c r="Q27" s="48">
        <v>1173</v>
      </c>
      <c r="R27" s="48">
        <v>1223</v>
      </c>
      <c r="S27" s="48">
        <v>1273</v>
      </c>
    </row>
    <row r="28" spans="1:19" ht="15">
      <c r="A28" s="15"/>
      <c r="B28" t="s">
        <v>179</v>
      </c>
      <c r="C28" s="149">
        <f>'Domain-Shift'!L34</f>
        <v>5550000000</v>
      </c>
      <c r="D28" t="s">
        <v>13</v>
      </c>
      <c r="G28" s="53" t="s">
        <v>212</v>
      </c>
      <c r="H28" s="50">
        <f>$C$28*EXP(-$C$29/(H27*$C$1))</f>
        <v>5.2742553864431867E-3</v>
      </c>
      <c r="I28" s="50">
        <f t="shared" ref="I28:S28" si="7">$C$28*EXP(-$C$29/(I27*$C$1))</f>
        <v>3.1607441715730336E-2</v>
      </c>
      <c r="J28" s="50">
        <f t="shared" si="7"/>
        <v>0.15238089305491026</v>
      </c>
      <c r="K28" s="50">
        <f t="shared" si="7"/>
        <v>0.6135070317413428</v>
      </c>
      <c r="L28" s="50">
        <f t="shared" si="7"/>
        <v>2.1240927121114157</v>
      </c>
      <c r="M28" s="50">
        <f t="shared" si="7"/>
        <v>6.4728469003784816</v>
      </c>
      <c r="N28" s="50">
        <f t="shared" si="7"/>
        <v>17.689396265797217</v>
      </c>
      <c r="O28" s="50">
        <f t="shared" si="7"/>
        <v>44.018920121419448</v>
      </c>
      <c r="P28" s="50">
        <f t="shared" si="7"/>
        <v>100.9972676232597</v>
      </c>
      <c r="Q28" s="50">
        <f t="shared" si="7"/>
        <v>215.88983224067729</v>
      </c>
      <c r="R28" s="50">
        <f t="shared" si="7"/>
        <v>433.68884895050587</v>
      </c>
      <c r="S28" s="51">
        <f t="shared" si="7"/>
        <v>824.75796192495613</v>
      </c>
    </row>
    <row r="29" spans="1:19" ht="15">
      <c r="A29" s="15"/>
      <c r="B29" t="s">
        <v>180</v>
      </c>
      <c r="C29" s="149">
        <f>'Domain-Shift'!L35</f>
        <v>166397</v>
      </c>
      <c r="D29" t="s">
        <v>15</v>
      </c>
      <c r="G29" s="68" t="s">
        <v>211</v>
      </c>
      <c r="H29" s="65">
        <f t="shared" ref="H29:S29" si="8">$C$30*EXP(-$C$31/(H27*$C$1))</f>
        <v>1.1049328230582077E-2</v>
      </c>
      <c r="I29" s="65">
        <f t="shared" si="8"/>
        <v>4.283344151710429E-2</v>
      </c>
      <c r="J29" s="65">
        <f t="shared" si="8"/>
        <v>0.14084123033382853</v>
      </c>
      <c r="K29" s="65">
        <f t="shared" si="8"/>
        <v>0.40407470374903004</v>
      </c>
      <c r="L29" s="65">
        <f t="shared" si="8"/>
        <v>1.0341934100777659</v>
      </c>
      <c r="M29" s="65">
        <f t="shared" si="8"/>
        <v>2.4032298043863389</v>
      </c>
      <c r="N29" s="65">
        <f t="shared" si="8"/>
        <v>5.1427189670007563</v>
      </c>
      <c r="O29" s="65">
        <f t="shared" si="8"/>
        <v>10.251757988804407</v>
      </c>
      <c r="P29" s="65">
        <f t="shared" si="8"/>
        <v>19.21873791497752</v>
      </c>
      <c r="Q29" s="65">
        <f t="shared" si="8"/>
        <v>34.149471781461095</v>
      </c>
      <c r="R29" s="65">
        <f t="shared" si="8"/>
        <v>57.893452720118226</v>
      </c>
      <c r="S29" s="66">
        <f t="shared" si="8"/>
        <v>94.160038570974578</v>
      </c>
    </row>
    <row r="30" spans="1:19" ht="15">
      <c r="A30" s="15"/>
      <c r="B30" t="s">
        <v>255</v>
      </c>
      <c r="C30" s="149">
        <f>'Domain-Shift'!L44</f>
        <v>13827000</v>
      </c>
      <c r="G30" s="9" t="s">
        <v>215</v>
      </c>
      <c r="H30">
        <f>'Domain-Shift'!U15</f>
        <v>8.1878996680759E-2</v>
      </c>
      <c r="I30">
        <f>'Domain-Shift'!V15</f>
        <v>4.3553753925099026E-2</v>
      </c>
      <c r="J30">
        <f>'Domain-Shift'!W15</f>
        <v>2.5014357741631948E-2</v>
      </c>
      <c r="K30">
        <f>'Domain-Shift'!X15</f>
        <v>1.5308770692865379E-2</v>
      </c>
      <c r="L30">
        <f>'Domain-Shift'!Y15</f>
        <v>9.8808699604728319E-3</v>
      </c>
      <c r="M30">
        <f>'Domain-Shift'!Z15</f>
        <v>6.6710193599064348E-3</v>
      </c>
      <c r="N30">
        <f>'Domain-Shift'!AA15</f>
        <v>4.6802165901676787E-3</v>
      </c>
      <c r="O30">
        <f>'Domain-Shift'!AB15</f>
        <v>3.3937911471261105E-3</v>
      </c>
      <c r="P30">
        <f>'Domain-Shift'!AC15</f>
        <v>2.5324072919793356E-3</v>
      </c>
      <c r="Q30">
        <f>'Domain-Shift'!AD15</f>
        <v>1.937411433012652E-3</v>
      </c>
      <c r="R30">
        <f>'Domain-Shift'!AE15</f>
        <v>1.5150275162748158E-3</v>
      </c>
      <c r="S30">
        <f>'Domain-Shift'!AF15</f>
        <v>1.207838639772898E-3</v>
      </c>
    </row>
    <row r="31" spans="1:19" ht="15">
      <c r="A31" s="15"/>
      <c r="B31" t="s">
        <v>197</v>
      </c>
      <c r="C31" s="116">
        <f>'Domain-Shift'!L45</f>
        <v>125916</v>
      </c>
      <c r="G31" s="68" t="s">
        <v>210</v>
      </c>
      <c r="H31" s="80">
        <f>(H$28*H$30*H$11*(1-((H$10*H$9)/(H$29*H$11))))/H$12</f>
        <v>1.6578271556754791E-8</v>
      </c>
      <c r="I31" s="80">
        <f t="shared" ref="I31:S31" si="9">(I$28*I$30*I$11*(1-((I$10*I$9)/(I$29*I$11))))/I$12</f>
        <v>3.0884915644366916E-7</v>
      </c>
      <c r="J31" s="80">
        <f t="shared" si="9"/>
        <v>6.1210330262805293E-6</v>
      </c>
      <c r="K31" s="80">
        <f t="shared" si="9"/>
        <v>7.3978747094100291E-5</v>
      </c>
      <c r="L31" s="80">
        <f t="shared" si="9"/>
        <v>4.7357036514414098E-4</v>
      </c>
      <c r="M31" s="80">
        <f t="shared" si="9"/>
        <v>1.0736416259794713E-3</v>
      </c>
      <c r="N31" s="80">
        <f t="shared" si="9"/>
        <v>-2.4294907483026981E-4</v>
      </c>
      <c r="O31" s="80">
        <f t="shared" si="9"/>
        <v>-1.4430388486440782E-3</v>
      </c>
      <c r="P31" s="80">
        <f t="shared" si="9"/>
        <v>-1.2188081542541262E-3</v>
      </c>
      <c r="Q31" s="80">
        <f t="shared" si="9"/>
        <v>-9.4580890564241991E-4</v>
      </c>
      <c r="R31" s="80">
        <f t="shared" si="9"/>
        <v>-6.9939066884999962E-4</v>
      </c>
      <c r="S31" s="80">
        <f t="shared" si="9"/>
        <v>-4.8385254720922401E-4</v>
      </c>
    </row>
    <row r="32" spans="1:19" s="15" customFormat="1" ht="15">
      <c r="A32" s="15" t="s">
        <v>178</v>
      </c>
      <c r="G32" s="15" t="s">
        <v>174</v>
      </c>
    </row>
    <row r="33" spans="1:19" ht="15">
      <c r="A33" s="15"/>
      <c r="G33" s="9" t="s">
        <v>175</v>
      </c>
    </row>
    <row r="34" spans="1:19" ht="15">
      <c r="A34" s="15"/>
      <c r="C34" s="5">
        <v>9.9999999999999995E-7</v>
      </c>
      <c r="G34" s="9" t="s">
        <v>176</v>
      </c>
    </row>
    <row r="35" spans="1:19" ht="15">
      <c r="A35" s="15"/>
      <c r="C35" s="5">
        <f>C34/D15</f>
        <v>3.2000000000000005E-5</v>
      </c>
      <c r="G35" s="9" t="s">
        <v>177</v>
      </c>
    </row>
    <row r="40" spans="1:19" s="15" customFormat="1" ht="15">
      <c r="A40" s="15" t="s">
        <v>119</v>
      </c>
      <c r="G40" s="15" t="s">
        <v>174</v>
      </c>
      <c r="H40" s="48">
        <v>723</v>
      </c>
      <c r="I40" s="48">
        <v>773</v>
      </c>
      <c r="J40" s="48">
        <v>823</v>
      </c>
      <c r="K40" s="48">
        <v>873</v>
      </c>
      <c r="L40" s="48">
        <v>923</v>
      </c>
      <c r="M40" s="48">
        <v>973</v>
      </c>
      <c r="N40" s="48">
        <v>1023</v>
      </c>
      <c r="O40" s="48">
        <v>1073</v>
      </c>
      <c r="P40" s="48">
        <v>1123</v>
      </c>
      <c r="Q40" s="48">
        <v>1173</v>
      </c>
      <c r="R40" s="48">
        <v>1223</v>
      </c>
      <c r="S40" s="48">
        <v>1273</v>
      </c>
    </row>
    <row r="41" spans="1:19">
      <c r="A41" s="74" t="s">
        <v>256</v>
      </c>
      <c r="B41" s="50" t="s">
        <v>261</v>
      </c>
      <c r="C41" s="51" t="s">
        <v>260</v>
      </c>
      <c r="G41" t="s">
        <v>119</v>
      </c>
      <c r="H41" s="208">
        <f>(H$21+H$26)/($D$15*(1-$B$42/$C$11))</f>
        <v>2.418578478068425E-7</v>
      </c>
      <c r="I41" s="209">
        <f t="shared" ref="I41:S41" si="10">(I$21+I$26)/($D$15*(1-$B$42/$C$11))</f>
        <v>1.2811480312018297E-6</v>
      </c>
      <c r="J41" s="209">
        <f t="shared" si="10"/>
        <v>5.402859616583917E-6</v>
      </c>
      <c r="K41" s="209">
        <f t="shared" si="10"/>
        <v>1.8878245367139226E-5</v>
      </c>
      <c r="L41" s="209">
        <f t="shared" si="10"/>
        <v>5.4014306208781443E-5</v>
      </c>
      <c r="M41" s="209">
        <f t="shared" si="10"/>
        <v>1.0401624458409155E-4</v>
      </c>
      <c r="N41" s="209">
        <f t="shared" si="10"/>
        <v>8.7183681101707269E-5</v>
      </c>
      <c r="O41" s="209">
        <f t="shared" si="10"/>
        <v>4.5948971899284151E-5</v>
      </c>
      <c r="P41" s="209">
        <f t="shared" si="10"/>
        <v>4.2771648158622878E-5</v>
      </c>
      <c r="Q41" s="209">
        <f t="shared" si="10"/>
        <v>3.9145222689233175E-5</v>
      </c>
      <c r="R41" s="209">
        <f t="shared" si="10"/>
        <v>3.3811941977858602E-5</v>
      </c>
      <c r="S41" s="210">
        <f t="shared" si="10"/>
        <v>2.708435142916907E-5</v>
      </c>
    </row>
    <row r="42" spans="1:19">
      <c r="A42" s="75"/>
      <c r="B42">
        <v>0</v>
      </c>
      <c r="C42" s="67" t="s">
        <v>259</v>
      </c>
      <c r="G42" t="s">
        <v>119</v>
      </c>
      <c r="H42" s="214">
        <f>(H$21+H$26)/($C$14*(1-$B$42/$C$11))</f>
        <v>5.4081058858789817E-5</v>
      </c>
      <c r="I42" s="215">
        <f t="shared" ref="I42:S42" si="11">(I$21+I$26)/($C$14*(1-$B$42/$C$11))</f>
        <v>2.8647340870073128E-4</v>
      </c>
      <c r="J42" s="215">
        <f t="shared" si="11"/>
        <v>1.2081161375570087E-3</v>
      </c>
      <c r="K42" s="215">
        <f t="shared" si="11"/>
        <v>4.2213039936843779E-3</v>
      </c>
      <c r="L42" s="215">
        <f t="shared" si="11"/>
        <v>1.2077966044032426E-2</v>
      </c>
      <c r="M42" s="215">
        <f t="shared" si="11"/>
        <v>2.3258739365427303E-2</v>
      </c>
      <c r="N42" s="215">
        <f t="shared" si="11"/>
        <v>1.9494863747208119E-2</v>
      </c>
      <c r="O42" s="215">
        <f t="shared" si="11"/>
        <v>1.0274502466302697E-2</v>
      </c>
      <c r="P42" s="215">
        <f t="shared" si="11"/>
        <v>9.5640312792384455E-3</v>
      </c>
      <c r="Q42" s="215">
        <f t="shared" si="11"/>
        <v>8.7531378927492506E-3</v>
      </c>
      <c r="R42" s="215">
        <f t="shared" si="11"/>
        <v>7.5605800713770517E-3</v>
      </c>
      <c r="S42" s="216">
        <f t="shared" si="11"/>
        <v>6.0562450922115622E-3</v>
      </c>
    </row>
    <row r="43" spans="1:19">
      <c r="A43" s="76"/>
      <c r="B43" s="49"/>
      <c r="C43" s="52" t="s">
        <v>258</v>
      </c>
      <c r="G43" t="s">
        <v>119</v>
      </c>
      <c r="H43" s="211">
        <f>(H$21+H$26)/($F$14*(1-$B$42/$B$11))</f>
        <v>6.8407729706960893E-2</v>
      </c>
      <c r="I43" s="212">
        <f t="shared" ref="I43:S43" si="12">(I$21+I$26)/($F$14*(1-$B$42/$B$11))</f>
        <v>0.36236338422664327</v>
      </c>
      <c r="J43" s="212">
        <f t="shared" si="12"/>
        <v>1.5281594690741749</v>
      </c>
      <c r="K43" s="212">
        <f t="shared" si="12"/>
        <v>5.3395741264030674</v>
      </c>
      <c r="L43" s="212">
        <f t="shared" si="12"/>
        <v>15.277552880526395</v>
      </c>
      <c r="M43" s="212">
        <f t="shared" si="12"/>
        <v>29.420236759587848</v>
      </c>
      <c r="N43" s="212">
        <f t="shared" si="12"/>
        <v>24.659268846329059</v>
      </c>
      <c r="O43" s="212">
        <f t="shared" si="12"/>
        <v>12.996331847413574</v>
      </c>
      <c r="P43" s="212">
        <f t="shared" si="12"/>
        <v>12.097648982194936</v>
      </c>
      <c r="Q43" s="212">
        <f t="shared" si="12"/>
        <v>11.071940965845709</v>
      </c>
      <c r="R43" s="212">
        <f t="shared" si="12"/>
        <v>9.5634613830519584</v>
      </c>
      <c r="S43" s="213">
        <f t="shared" si="12"/>
        <v>7.6606114238420027</v>
      </c>
    </row>
    <row r="44" spans="1:19">
      <c r="A44" s="74" t="s">
        <v>257</v>
      </c>
      <c r="B44" s="50" t="s">
        <v>262</v>
      </c>
      <c r="C44" s="51" t="s">
        <v>260</v>
      </c>
      <c r="G44" t="s">
        <v>119</v>
      </c>
      <c r="H44" s="5">
        <f>(H$21+H$26-H$31)/($D$15*(1-$B$45/$C$11))</f>
        <v>-5.7729368401740356E-3</v>
      </c>
      <c r="I44" s="5">
        <f t="shared" ref="I44:S44" si="13">(I$21+I$26-I$31)/($D$15*(1-$B$45/$C$11))</f>
        <v>-0.17204049949954864</v>
      </c>
      <c r="J44" s="5">
        <f t="shared" si="13"/>
        <v>-3.809403944479822</v>
      </c>
      <c r="K44" s="5">
        <f t="shared" si="13"/>
        <v>-46.968833232782288</v>
      </c>
      <c r="L44" s="5">
        <f t="shared" si="13"/>
        <v>-302.00474756743728</v>
      </c>
      <c r="M44" s="5">
        <f t="shared" si="13"/>
        <v>-685.05031573373424</v>
      </c>
      <c r="N44" s="5">
        <f t="shared" si="13"/>
        <v>157.23108151307505</v>
      </c>
      <c r="O44" s="5">
        <f t="shared" si="13"/>
        <v>924.46384256824501</v>
      </c>
      <c r="P44" s="5">
        <f t="shared" si="13"/>
        <v>780.89265168416534</v>
      </c>
      <c r="Q44" s="5">
        <f t="shared" si="13"/>
        <v>606.10060406365437</v>
      </c>
      <c r="R44" s="5">
        <f t="shared" si="13"/>
        <v>448.28626690261098</v>
      </c>
      <c r="S44" s="5">
        <f t="shared" si="13"/>
        <v>310.20731724183213</v>
      </c>
    </row>
    <row r="45" spans="1:19">
      <c r="A45" s="75"/>
      <c r="B45" s="17">
        <v>19.998999999999999</v>
      </c>
      <c r="C45" s="67" t="s">
        <v>259</v>
      </c>
      <c r="G45" t="s">
        <v>119</v>
      </c>
      <c r="H45" s="5">
        <f>(H$21+H$26-H$31)/($B$14*(1-$B$45/$C$11))</f>
        <v>-57.729368401740345</v>
      </c>
      <c r="I45" s="5">
        <f t="shared" ref="I45:S45" si="14">(I$21+I$26-I$31)/($B$14*(1-$B$45/$C$11))</f>
        <v>-1720.4049949954863</v>
      </c>
      <c r="J45" s="5">
        <f t="shared" si="14"/>
        <v>-38094.039444798211</v>
      </c>
      <c r="K45" s="5">
        <f t="shared" si="14"/>
        <v>-469688.33232782281</v>
      </c>
      <c r="L45" s="5">
        <f t="shared" si="14"/>
        <v>-3020047.4756743726</v>
      </c>
      <c r="M45" s="5">
        <f t="shared" si="14"/>
        <v>-6850503.1573373405</v>
      </c>
      <c r="N45" s="5">
        <f t="shared" si="14"/>
        <v>1572310.8151307502</v>
      </c>
      <c r="O45" s="5">
        <f t="shared" si="14"/>
        <v>9244638.4256824479</v>
      </c>
      <c r="P45" s="5">
        <f t="shared" si="14"/>
        <v>7808926.5168416528</v>
      </c>
      <c r="Q45" s="5">
        <f t="shared" si="14"/>
        <v>6061006.0406365432</v>
      </c>
      <c r="R45" s="5">
        <f t="shared" si="14"/>
        <v>4482862.6690261094</v>
      </c>
      <c r="S45" s="5">
        <f t="shared" si="14"/>
        <v>3102073.172418321</v>
      </c>
    </row>
    <row r="46" spans="1:19">
      <c r="A46" s="76"/>
      <c r="B46" s="49"/>
      <c r="C46" s="52" t="s">
        <v>258</v>
      </c>
      <c r="G46" t="s">
        <v>119</v>
      </c>
      <c r="H46" s="5">
        <f>(H$21+H$26-H$31)/($C$14*(1-$B$45/$C$11))</f>
        <v>-1.2908679204441982</v>
      </c>
      <c r="I46" s="5">
        <f t="shared" ref="I46:S46" si="15">(I$21+I$26-I$31)/($C$14*(1-$B$45/$C$11))</f>
        <v>-38.469425176400932</v>
      </c>
      <c r="J46" s="5">
        <f t="shared" si="15"/>
        <v>-851.80861736127167</v>
      </c>
      <c r="K46" s="5">
        <f t="shared" si="15"/>
        <v>-10502.55039323524</v>
      </c>
      <c r="L46" s="5">
        <f t="shared" si="15"/>
        <v>-67530.314508845404</v>
      </c>
      <c r="M46" s="5">
        <f t="shared" si="15"/>
        <v>-153181.90739883235</v>
      </c>
      <c r="N46" s="5">
        <f t="shared" si="15"/>
        <v>35157.938643904628</v>
      </c>
      <c r="O46" s="5">
        <f t="shared" si="15"/>
        <v>206716.39947232595</v>
      </c>
      <c r="P46" s="5">
        <f t="shared" si="15"/>
        <v>174612.90522958594</v>
      </c>
      <c r="Q46" s="5">
        <f t="shared" si="15"/>
        <v>135528.21518900167</v>
      </c>
      <c r="R46" s="5">
        <f t="shared" si="15"/>
        <v>100239.85661738523</v>
      </c>
      <c r="S46" s="5">
        <f t="shared" si="15"/>
        <v>69364.464847057927</v>
      </c>
    </row>
    <row r="47" spans="1:19" s="15" customFormat="1" ht="15">
      <c r="A47" s="15" t="s">
        <v>171</v>
      </c>
      <c r="G47" s="15" t="s">
        <v>174</v>
      </c>
      <c r="H47" s="48">
        <v>723</v>
      </c>
      <c r="I47" s="48">
        <v>773</v>
      </c>
      <c r="J47" s="48">
        <v>823</v>
      </c>
      <c r="K47" s="48">
        <v>873</v>
      </c>
      <c r="L47" s="48">
        <v>923</v>
      </c>
      <c r="M47" s="48">
        <v>973</v>
      </c>
      <c r="N47" s="48">
        <v>1023</v>
      </c>
      <c r="O47" s="48">
        <v>1073</v>
      </c>
      <c r="P47" s="48">
        <v>1123</v>
      </c>
      <c r="Q47" s="48">
        <v>1173</v>
      </c>
      <c r="R47" s="48">
        <v>1223</v>
      </c>
      <c r="S47" s="48">
        <v>1273</v>
      </c>
    </row>
    <row r="48" spans="1:19">
      <c r="A48" t="s">
        <v>173</v>
      </c>
      <c r="B48" t="s">
        <v>172</v>
      </c>
    </row>
    <row r="49" spans="1:20">
      <c r="A49" s="116">
        <f>B11</f>
        <v>5</v>
      </c>
      <c r="B49">
        <v>10</v>
      </c>
      <c r="H49" s="5">
        <f>$A$49/((H$21+H26)*$C$10)</f>
        <v>103366.50320301378</v>
      </c>
      <c r="I49" s="5">
        <f t="shared" ref="I49:S49" si="16">$A$49/((I$21+I26)*$C$10)</f>
        <v>19513.748131469085</v>
      </c>
      <c r="J49" s="5">
        <f t="shared" si="16"/>
        <v>4627.1792669317647</v>
      </c>
      <c r="K49" s="5">
        <f t="shared" si="16"/>
        <v>1324.2756153342898</v>
      </c>
      <c r="L49" s="5">
        <f t="shared" si="16"/>
        <v>462.84034276710929</v>
      </c>
      <c r="M49" s="5">
        <f t="shared" si="16"/>
        <v>240.3470736706789</v>
      </c>
      <c r="N49" s="5">
        <f t="shared" si="16"/>
        <v>286.75091122655573</v>
      </c>
      <c r="O49" s="5">
        <f t="shared" si="16"/>
        <v>544.08181438308702</v>
      </c>
      <c r="P49" s="5">
        <f t="shared" si="16"/>
        <v>584.49933720779325</v>
      </c>
      <c r="Q49" s="5">
        <f t="shared" si="16"/>
        <v>638.64753557465929</v>
      </c>
      <c r="R49" s="5">
        <f t="shared" si="16"/>
        <v>739.38373656180397</v>
      </c>
      <c r="S49" s="5">
        <f t="shared" si="16"/>
        <v>923.04222478355973</v>
      </c>
      <c r="T49" t="s">
        <v>66</v>
      </c>
    </row>
    <row r="50" spans="1:20">
      <c r="A50" s="116">
        <f>C11</f>
        <v>20</v>
      </c>
      <c r="B50">
        <v>42</v>
      </c>
      <c r="H50" s="5">
        <f>$A$50/((H$21+H26)*$C$10)</f>
        <v>413466.01281205512</v>
      </c>
      <c r="I50" s="5">
        <f t="shared" ref="I50:S50" si="17">$A$50/((I$21+I26)*$C$10)</f>
        <v>78054.99252587634</v>
      </c>
      <c r="J50" s="5">
        <f t="shared" si="17"/>
        <v>18508.717067727059</v>
      </c>
      <c r="K50" s="5">
        <f t="shared" si="17"/>
        <v>5297.1024613371592</v>
      </c>
      <c r="L50" s="5">
        <f t="shared" si="17"/>
        <v>1851.3613710684372</v>
      </c>
      <c r="M50" s="5">
        <f t="shared" si="17"/>
        <v>961.38829468271558</v>
      </c>
      <c r="N50" s="5">
        <f t="shared" si="17"/>
        <v>1147.0036449062229</v>
      </c>
      <c r="O50" s="5">
        <f t="shared" si="17"/>
        <v>2176.3272575323481</v>
      </c>
      <c r="P50" s="5">
        <f t="shared" si="17"/>
        <v>2337.997348831173</v>
      </c>
      <c r="Q50" s="5">
        <f t="shared" si="17"/>
        <v>2554.5901422986371</v>
      </c>
      <c r="R50" s="5">
        <f t="shared" si="17"/>
        <v>2957.5349462472159</v>
      </c>
      <c r="S50" s="5">
        <f t="shared" si="17"/>
        <v>3692.1688991342389</v>
      </c>
      <c r="T50" t="s">
        <v>66</v>
      </c>
    </row>
    <row r="51" spans="1:20">
      <c r="A51" s="116">
        <f>D11</f>
        <v>50</v>
      </c>
      <c r="B51">
        <v>104</v>
      </c>
      <c r="H51" s="5">
        <f>$A$51/((H$21+H26)*$C$10)</f>
        <v>1033665.0320301378</v>
      </c>
      <c r="I51" s="5">
        <f t="shared" ref="I51:S51" si="18">$A$51/((I$21+I26)*$C$10)</f>
        <v>195137.48131469084</v>
      </c>
      <c r="J51" s="5">
        <f t="shared" si="18"/>
        <v>46271.792669317641</v>
      </c>
      <c r="K51" s="5">
        <f t="shared" si="18"/>
        <v>13242.756153342898</v>
      </c>
      <c r="L51" s="5">
        <f t="shared" si="18"/>
        <v>4628.4034276710927</v>
      </c>
      <c r="M51" s="5">
        <f t="shared" si="18"/>
        <v>2403.470736706789</v>
      </c>
      <c r="N51" s="5">
        <f t="shared" si="18"/>
        <v>2867.5091122655572</v>
      </c>
      <c r="O51" s="5">
        <f t="shared" si="18"/>
        <v>5440.8181438308702</v>
      </c>
      <c r="P51" s="5">
        <f t="shared" si="18"/>
        <v>5844.9933720779327</v>
      </c>
      <c r="Q51" s="5">
        <f t="shared" si="18"/>
        <v>6386.4753557465929</v>
      </c>
      <c r="R51" s="5">
        <f t="shared" si="18"/>
        <v>7393.8373656180393</v>
      </c>
      <c r="S51" s="5">
        <f t="shared" si="18"/>
        <v>9230.4222478355969</v>
      </c>
      <c r="T51" t="s">
        <v>66</v>
      </c>
    </row>
    <row r="53" spans="1:20">
      <c r="H53">
        <f>H49/3600</f>
        <v>28.712917556392718</v>
      </c>
      <c r="I53">
        <f t="shared" ref="I53:S53" si="19">I49/3600</f>
        <v>5.4204855920747459</v>
      </c>
      <c r="J53">
        <f t="shared" si="19"/>
        <v>1.2853275741477124</v>
      </c>
      <c r="K53">
        <f t="shared" si="19"/>
        <v>0.36785433759285829</v>
      </c>
      <c r="L53">
        <f t="shared" si="19"/>
        <v>0.12856676187975258</v>
      </c>
      <c r="M53">
        <f t="shared" si="19"/>
        <v>6.6763076019633022E-2</v>
      </c>
      <c r="N53">
        <f t="shared" si="19"/>
        <v>7.9653030896265478E-2</v>
      </c>
      <c r="O53">
        <f t="shared" si="19"/>
        <v>0.15113383732863528</v>
      </c>
      <c r="P53">
        <f t="shared" si="19"/>
        <v>0.16236092700216478</v>
      </c>
      <c r="Q53">
        <f t="shared" si="19"/>
        <v>0.17740209321518313</v>
      </c>
      <c r="R53">
        <f t="shared" si="19"/>
        <v>0.20538437126716777</v>
      </c>
      <c r="S53">
        <f t="shared" si="19"/>
        <v>0.25640061799543323</v>
      </c>
      <c r="T53" t="s">
        <v>264</v>
      </c>
    </row>
    <row r="54" spans="1:20">
      <c r="H54">
        <f t="shared" ref="H54:S54" si="20">H50/3600</f>
        <v>114.85167022557087</v>
      </c>
      <c r="I54">
        <f t="shared" si="20"/>
        <v>21.681942368298984</v>
      </c>
      <c r="J54">
        <f t="shared" si="20"/>
        <v>5.1413102965908495</v>
      </c>
      <c r="K54">
        <f t="shared" si="20"/>
        <v>1.4714173503714332</v>
      </c>
      <c r="L54">
        <f t="shared" si="20"/>
        <v>0.51426704751901031</v>
      </c>
      <c r="M54">
        <f t="shared" si="20"/>
        <v>0.26705230407853209</v>
      </c>
      <c r="N54">
        <f t="shared" si="20"/>
        <v>0.31861212358506191</v>
      </c>
      <c r="O54">
        <f t="shared" si="20"/>
        <v>0.60453534931454112</v>
      </c>
      <c r="P54">
        <f t="shared" si="20"/>
        <v>0.64944370800865914</v>
      </c>
      <c r="Q54">
        <f t="shared" si="20"/>
        <v>0.70960837286073253</v>
      </c>
      <c r="R54">
        <f t="shared" si="20"/>
        <v>0.82153748506867108</v>
      </c>
      <c r="S54">
        <f t="shared" si="20"/>
        <v>1.0256024719817329</v>
      </c>
      <c r="T54" t="s">
        <v>264</v>
      </c>
    </row>
    <row r="55" spans="1:20">
      <c r="H55" s="217">
        <f>H51/3600</f>
        <v>287.12917556392716</v>
      </c>
      <c r="I55">
        <f t="shared" ref="I55:S55" si="21">I51/3600</f>
        <v>54.204855920747455</v>
      </c>
      <c r="J55">
        <f t="shared" si="21"/>
        <v>12.853275741477123</v>
      </c>
      <c r="K55">
        <f t="shared" si="21"/>
        <v>3.6785433759285828</v>
      </c>
      <c r="L55">
        <f t="shared" si="21"/>
        <v>1.2856676187975258</v>
      </c>
      <c r="M55">
        <f t="shared" si="21"/>
        <v>0.66763076019633028</v>
      </c>
      <c r="N55">
        <f t="shared" si="21"/>
        <v>0.79653030896265475</v>
      </c>
      <c r="O55">
        <f t="shared" si="21"/>
        <v>1.5113383732863528</v>
      </c>
      <c r="P55">
        <f t="shared" si="21"/>
        <v>1.623609270021648</v>
      </c>
      <c r="Q55">
        <f t="shared" si="21"/>
        <v>1.7740209321518314</v>
      </c>
      <c r="R55">
        <f t="shared" si="21"/>
        <v>2.0538437126716778</v>
      </c>
      <c r="S55">
        <f t="shared" si="21"/>
        <v>2.5640061799543323</v>
      </c>
      <c r="T55" t="s">
        <v>264</v>
      </c>
    </row>
    <row r="58" spans="1:20" s="12" customFormat="1" ht="18">
      <c r="A58" s="218" t="s">
        <v>326</v>
      </c>
      <c r="G58" s="15" t="s">
        <v>174</v>
      </c>
      <c r="H58" s="48">
        <v>723</v>
      </c>
      <c r="I58" s="48">
        <v>773</v>
      </c>
      <c r="J58" s="48">
        <v>823</v>
      </c>
      <c r="K58" s="48">
        <v>873</v>
      </c>
      <c r="L58" s="48">
        <v>923</v>
      </c>
      <c r="M58" s="48">
        <v>973</v>
      </c>
      <c r="N58" s="48">
        <v>1023</v>
      </c>
      <c r="O58" s="48">
        <v>1073</v>
      </c>
      <c r="P58" s="48">
        <v>1123</v>
      </c>
      <c r="Q58" s="48">
        <v>1173</v>
      </c>
      <c r="R58" s="48">
        <v>1223</v>
      </c>
      <c r="S58" s="48">
        <v>1273</v>
      </c>
    </row>
    <row r="60" spans="1:20" ht="15">
      <c r="A60" s="9" t="s">
        <v>110</v>
      </c>
      <c r="B60" s="127">
        <v>4.9999999999999998E-8</v>
      </c>
      <c r="C60" s="127">
        <v>1.0000000000000001E-9</v>
      </c>
      <c r="D60" s="126">
        <v>5.0000000000000003E-10</v>
      </c>
      <c r="F60" s="68" t="s">
        <v>209</v>
      </c>
      <c r="G60" s="201" t="s">
        <v>325</v>
      </c>
      <c r="H60" s="199">
        <v>-8.4964536398551828E-17</v>
      </c>
      <c r="I60" s="199">
        <v>-3.4547710017865971E-16</v>
      </c>
      <c r="J60" s="199">
        <v>-8.9111708235083163E-16</v>
      </c>
      <c r="K60" s="199">
        <v>-2.1250938953879205E-15</v>
      </c>
      <c r="L60" s="199">
        <v>-4.6694579646952263E-15</v>
      </c>
      <c r="M60" s="199">
        <v>1.200256585791098E-15</v>
      </c>
      <c r="N60" s="199">
        <v>2.56130062055484E-13</v>
      </c>
      <c r="O60" s="199">
        <v>3.3978107805346203E-12</v>
      </c>
      <c r="P60" s="199">
        <v>3.1094859985736537E-11</v>
      </c>
      <c r="Q60" s="199">
        <v>2.319383878285433E-10</v>
      </c>
      <c r="R60" s="199">
        <v>1.4590435657810244E-9</v>
      </c>
      <c r="S60" s="200">
        <v>7.921410099994162E-9</v>
      </c>
    </row>
    <row r="61" spans="1:20" ht="15">
      <c r="A61" s="9" t="s">
        <v>66</v>
      </c>
      <c r="B61" s="116">
        <v>0.1</v>
      </c>
      <c r="C61" s="116">
        <v>50</v>
      </c>
      <c r="D61" s="116">
        <v>80</v>
      </c>
      <c r="F61" s="68" t="s">
        <v>209</v>
      </c>
      <c r="G61" s="163" t="s">
        <v>265</v>
      </c>
      <c r="H61" s="203">
        <v>-1.4068185100003441E-22</v>
      </c>
      <c r="I61" s="204">
        <v>-2.1492330601427684E-20</v>
      </c>
      <c r="J61" s="204">
        <v>-1.3340515145744058E-18</v>
      </c>
      <c r="K61" s="204">
        <v>-5.1981613525083703E-17</v>
      </c>
      <c r="L61" s="204">
        <v>-1.3247254507589563E-15</v>
      </c>
      <c r="M61" s="204">
        <v>-1.8152348053604424E-14</v>
      </c>
      <c r="N61" s="204">
        <v>-2.643462056482589E-14</v>
      </c>
      <c r="O61" s="204">
        <v>1.067047032914159E-12</v>
      </c>
      <c r="P61" s="204">
        <v>6.6495354640611077E-12</v>
      </c>
      <c r="Q61" s="204">
        <v>2.2215118513436491E-11</v>
      </c>
      <c r="R61" s="204">
        <v>-3.2038700154136899E-11</v>
      </c>
      <c r="S61" s="205">
        <v>-1.103112264334784E-9</v>
      </c>
    </row>
    <row r="62" spans="1:20" ht="15">
      <c r="A62" s="9" t="s">
        <v>111</v>
      </c>
      <c r="B62" s="202">
        <f>SQRT(B60/B61)</f>
        <v>7.0710678118654751E-4</v>
      </c>
      <c r="C62" s="202">
        <f>SQRT(C60/C61)</f>
        <v>4.4721359549995799E-6</v>
      </c>
      <c r="D62" s="202">
        <f>SQRT(D60/D61)</f>
        <v>2.5000000000000002E-6</v>
      </c>
    </row>
    <row r="63" spans="1:20" ht="15">
      <c r="A63" s="9" t="s">
        <v>115</v>
      </c>
      <c r="B63" s="150">
        <v>5</v>
      </c>
      <c r="C63" s="150">
        <v>20</v>
      </c>
      <c r="D63" s="150">
        <v>50</v>
      </c>
      <c r="F63" s="68" t="s">
        <v>119</v>
      </c>
      <c r="H63" s="5">
        <f>(H21+H60)/($B$68)</f>
        <v>6.8407728937950978E-4</v>
      </c>
      <c r="I63" s="5">
        <f t="shared" ref="I63:S63" si="22">(I21+I60)/($B$68)</f>
        <v>3.6236338109993608E-3</v>
      </c>
      <c r="J63" s="5">
        <f t="shared" si="22"/>
        <v>1.5281594610207781E-2</v>
      </c>
      <c r="K63" s="5">
        <f t="shared" si="22"/>
        <v>5.3395741076393971E-2</v>
      </c>
      <c r="L63" s="5">
        <f t="shared" si="22"/>
        <v>0.15277552850253334</v>
      </c>
      <c r="M63" s="5">
        <f t="shared" si="22"/>
        <v>0.29420236934747634</v>
      </c>
      <c r="N63" s="5">
        <f t="shared" si="22"/>
        <v>0.24659271403812622</v>
      </c>
      <c r="O63" s="5">
        <f t="shared" si="22"/>
        <v>0.1299635294307887</v>
      </c>
      <c r="P63" s="5">
        <f t="shared" si="22"/>
        <v>0.12097870236015577</v>
      </c>
      <c r="Q63" s="5">
        <f t="shared" si="22"/>
        <v>0.11073839164193297</v>
      </c>
      <c r="R63" s="5">
        <f t="shared" si="22"/>
        <v>9.5769571191357969E-2</v>
      </c>
      <c r="S63" s="5">
        <f t="shared" si="22"/>
        <v>7.7422920761400726E-2</v>
      </c>
    </row>
    <row r="64" spans="1:20" ht="15">
      <c r="F64" s="68" t="s">
        <v>119</v>
      </c>
      <c r="H64" s="5">
        <f>(H21+H61)/($B$68)</f>
        <v>6.8407729706960899E-4</v>
      </c>
      <c r="I64" s="5">
        <f t="shared" ref="I64:S64" si="23">(I21+I61)/($B$68)</f>
        <v>3.623633842266433E-3</v>
      </c>
      <c r="J64" s="5">
        <f t="shared" si="23"/>
        <v>1.5281594690741749E-2</v>
      </c>
      <c r="K64" s="5">
        <f t="shared" si="23"/>
        <v>5.3395741264030676E-2</v>
      </c>
      <c r="L64" s="5">
        <f t="shared" si="23"/>
        <v>0.15277552880526396</v>
      </c>
      <c r="M64" s="5">
        <f t="shared" si="23"/>
        <v>0.29420236759587848</v>
      </c>
      <c r="N64" s="5">
        <f t="shared" si="23"/>
        <v>0.2465926884632906</v>
      </c>
      <c r="O64" s="5">
        <f t="shared" si="23"/>
        <v>0.12996331847413573</v>
      </c>
      <c r="P64" s="5">
        <f t="shared" si="23"/>
        <v>0.12097648982194936</v>
      </c>
      <c r="Q64" s="5">
        <f t="shared" si="23"/>
        <v>0.1107194096584571</v>
      </c>
      <c r="R64" s="5">
        <f t="shared" si="23"/>
        <v>9.5634613830519591E-2</v>
      </c>
      <c r="S64" s="5">
        <f t="shared" si="23"/>
        <v>7.6606114238420037E-2</v>
      </c>
    </row>
    <row r="65" spans="1:19" ht="15">
      <c r="A65" s="9" t="s">
        <v>112</v>
      </c>
      <c r="B65" s="33">
        <v>200</v>
      </c>
      <c r="C65" s="33">
        <v>200</v>
      </c>
      <c r="D65" s="159">
        <v>200</v>
      </c>
    </row>
    <row r="66" spans="1:19" ht="15">
      <c r="A66" s="9" t="s">
        <v>103</v>
      </c>
      <c r="B66" s="152">
        <v>6400</v>
      </c>
      <c r="C66" s="152">
        <v>6400</v>
      </c>
      <c r="D66" s="152">
        <v>6400</v>
      </c>
    </row>
    <row r="68" spans="1:19" ht="15">
      <c r="A68" s="198" t="s">
        <v>114</v>
      </c>
      <c r="B68" s="127">
        <f>(B60/B62)*$B$63*(B65/B66)</f>
        <v>1.1048543456039805E-5</v>
      </c>
      <c r="C68" s="206">
        <f t="shared" ref="C68:D68" si="24">(C60/C62)*$B$63*(C65/C66)</f>
        <v>3.493856214843421E-5</v>
      </c>
      <c r="D68" s="206">
        <f t="shared" si="24"/>
        <v>3.1250000000000001E-5</v>
      </c>
      <c r="F68" s="68" t="s">
        <v>119</v>
      </c>
      <c r="H68" s="5">
        <f>(H21+H60)/($B$68)</f>
        <v>6.8407728937950978E-4</v>
      </c>
      <c r="I68" s="5">
        <f t="shared" ref="I68:S68" si="25">(I21+I60)/($B$68)</f>
        <v>3.6236338109993608E-3</v>
      </c>
      <c r="J68" s="5">
        <f t="shared" si="25"/>
        <v>1.5281594610207781E-2</v>
      </c>
      <c r="K68" s="5">
        <f t="shared" si="25"/>
        <v>5.3395741076393971E-2</v>
      </c>
      <c r="L68" s="5">
        <f t="shared" si="25"/>
        <v>0.15277552850253334</v>
      </c>
      <c r="M68" s="5">
        <f t="shared" si="25"/>
        <v>0.29420236934747634</v>
      </c>
      <c r="N68" s="5">
        <f t="shared" si="25"/>
        <v>0.24659271403812622</v>
      </c>
      <c r="O68" s="5">
        <f t="shared" si="25"/>
        <v>0.1299635294307887</v>
      </c>
      <c r="P68" s="5">
        <f t="shared" si="25"/>
        <v>0.12097870236015577</v>
      </c>
      <c r="Q68" s="5">
        <f t="shared" si="25"/>
        <v>0.11073839164193297</v>
      </c>
      <c r="R68" s="5">
        <f t="shared" si="25"/>
        <v>9.5769571191357969E-2</v>
      </c>
      <c r="S68" s="5">
        <f t="shared" si="25"/>
        <v>7.7422920761400726E-2</v>
      </c>
    </row>
    <row r="69" spans="1:19" ht="15">
      <c r="B69" s="206">
        <f>(B60/B62)*$C$63*(B65/B66)</f>
        <v>4.419417382415922E-5</v>
      </c>
      <c r="C69" s="127">
        <f t="shared" ref="C69:D69" si="26">(C60/C62)*$C$63*(C65/C66)</f>
        <v>1.3975424859373684E-4</v>
      </c>
      <c r="D69" s="206">
        <f t="shared" si="26"/>
        <v>1.25E-4</v>
      </c>
      <c r="F69" s="68" t="s">
        <v>119</v>
      </c>
      <c r="H69" s="5">
        <f>(H21+H26)/($C$69)</f>
        <v>5.4081058858789817E-5</v>
      </c>
      <c r="I69" s="5">
        <f t="shared" ref="I69:S69" si="27">(I21+I26)/($C$69)</f>
        <v>2.8647340870073128E-4</v>
      </c>
      <c r="J69" s="5">
        <f t="shared" si="27"/>
        <v>1.2081161375570087E-3</v>
      </c>
      <c r="K69" s="5">
        <f t="shared" si="27"/>
        <v>4.2213039936843779E-3</v>
      </c>
      <c r="L69" s="5">
        <f t="shared" si="27"/>
        <v>1.2077966044032426E-2</v>
      </c>
      <c r="M69" s="5">
        <f t="shared" si="27"/>
        <v>2.3258739365427303E-2</v>
      </c>
      <c r="N69" s="5">
        <f t="shared" si="27"/>
        <v>1.9494863747208119E-2</v>
      </c>
      <c r="O69" s="5">
        <f t="shared" si="27"/>
        <v>1.0274502466302697E-2</v>
      </c>
      <c r="P69" s="5">
        <f t="shared" si="27"/>
        <v>9.5640312792384455E-3</v>
      </c>
      <c r="Q69" s="5">
        <f t="shared" si="27"/>
        <v>8.7531378927492506E-3</v>
      </c>
      <c r="R69" s="5">
        <f t="shared" si="27"/>
        <v>7.5605800713770517E-3</v>
      </c>
      <c r="S69" s="5">
        <f t="shared" si="27"/>
        <v>6.0562450922115622E-3</v>
      </c>
    </row>
    <row r="70" spans="1:19" ht="15">
      <c r="B70" s="206">
        <f>(B60/B62)*$D$63*(B65/B66)</f>
        <v>1.1048543456039805E-4</v>
      </c>
      <c r="C70" s="206">
        <f t="shared" ref="C70:D70" si="28">(C60/C62)*$D$63*(C65/C66)</f>
        <v>3.4938562148434209E-4</v>
      </c>
      <c r="D70" s="127">
        <f t="shared" si="28"/>
        <v>3.1250000000000001E-4</v>
      </c>
      <c r="F70" s="68" t="s">
        <v>119</v>
      </c>
      <c r="H70" s="5">
        <f>(H21+H26)/($D$70)</f>
        <v>2.4185784780684244E-5</v>
      </c>
      <c r="I70" s="5">
        <f t="shared" ref="I70:S70" si="29">(I21+I26)/($D$70)</f>
        <v>1.2811480312018293E-4</v>
      </c>
      <c r="J70" s="5">
        <f t="shared" si="29"/>
        <v>5.4028596165839164E-4</v>
      </c>
      <c r="K70" s="5">
        <f t="shared" si="29"/>
        <v>1.8878245367139222E-3</v>
      </c>
      <c r="L70" s="5">
        <f t="shared" si="29"/>
        <v>5.4014306208781436E-3</v>
      </c>
      <c r="M70" s="5">
        <f t="shared" si="29"/>
        <v>1.0401624458409153E-2</v>
      </c>
      <c r="N70" s="5">
        <f t="shared" si="29"/>
        <v>8.7183681101707256E-3</v>
      </c>
      <c r="O70" s="5">
        <f t="shared" si="29"/>
        <v>4.5948971899284147E-3</v>
      </c>
      <c r="P70" s="5">
        <f t="shared" si="29"/>
        <v>4.2771648158622874E-3</v>
      </c>
      <c r="Q70" s="5">
        <f t="shared" si="29"/>
        <v>3.9145222689233169E-3</v>
      </c>
      <c r="R70" s="5">
        <f t="shared" si="29"/>
        <v>3.3811941977858594E-3</v>
      </c>
      <c r="S70" s="5">
        <f t="shared" si="29"/>
        <v>2.7084351429169065E-3</v>
      </c>
    </row>
    <row r="71" spans="1:19">
      <c r="H71" s="5"/>
    </row>
    <row r="72" spans="1:19" ht="15">
      <c r="A72" s="198" t="s">
        <v>114</v>
      </c>
      <c r="B72" s="207">
        <v>9.9999999999999995E-8</v>
      </c>
      <c r="C72" s="207">
        <v>1E-4</v>
      </c>
      <c r="D72" s="207">
        <v>0.03</v>
      </c>
      <c r="F72" s="68" t="s">
        <v>119</v>
      </c>
      <c r="H72" s="5">
        <f>(H21+H26)/($B$72)</f>
        <v>7.5580577439638266E-2</v>
      </c>
      <c r="I72" s="5">
        <f t="shared" ref="I72:S72" si="30">(I21+I26)/($B$72)</f>
        <v>0.40035875975057172</v>
      </c>
      <c r="J72" s="7">
        <f t="shared" si="30"/>
        <v>1.6883936301824738</v>
      </c>
      <c r="K72" s="7">
        <f t="shared" si="30"/>
        <v>5.8994516772310073</v>
      </c>
      <c r="L72" s="7">
        <f t="shared" si="30"/>
        <v>16.879470690244201</v>
      </c>
      <c r="M72" s="7">
        <f t="shared" si="30"/>
        <v>32.505076432528604</v>
      </c>
      <c r="N72" s="7">
        <f t="shared" si="30"/>
        <v>27.244900344283518</v>
      </c>
      <c r="O72" s="7">
        <f t="shared" si="30"/>
        <v>14.359053718526296</v>
      </c>
      <c r="P72" s="7">
        <f t="shared" si="30"/>
        <v>13.366140049569648</v>
      </c>
      <c r="Q72" s="7">
        <f t="shared" si="30"/>
        <v>12.232882090385365</v>
      </c>
      <c r="R72" s="7">
        <f t="shared" si="30"/>
        <v>10.566231868080811</v>
      </c>
      <c r="S72" s="7">
        <f t="shared" si="30"/>
        <v>8.4638598216153333</v>
      </c>
    </row>
    <row r="73" spans="1:19" ht="15">
      <c r="F73" s="68" t="s">
        <v>119</v>
      </c>
      <c r="H73" s="5">
        <f>(H21+H26)/($C$72)</f>
        <v>7.5580577439638265E-5</v>
      </c>
      <c r="I73" s="5">
        <f t="shared" ref="I73:S73" si="31">(I21+I26)/($C$72)</f>
        <v>4.0035875975057172E-4</v>
      </c>
      <c r="J73" s="5">
        <f t="shared" si="31"/>
        <v>1.6883936301824738E-3</v>
      </c>
      <c r="K73" s="5">
        <f t="shared" si="31"/>
        <v>5.8994516772310065E-3</v>
      </c>
      <c r="L73" s="5">
        <f t="shared" si="31"/>
        <v>1.6879470690244199E-2</v>
      </c>
      <c r="M73" s="5">
        <f t="shared" si="31"/>
        <v>3.2505076432528604E-2</v>
      </c>
      <c r="N73" s="5">
        <f t="shared" si="31"/>
        <v>2.7244900344283517E-2</v>
      </c>
      <c r="O73" s="5">
        <f t="shared" si="31"/>
        <v>1.4359053718526294E-2</v>
      </c>
      <c r="P73" s="5">
        <f t="shared" si="31"/>
        <v>1.3366140049569647E-2</v>
      </c>
      <c r="Q73" s="5">
        <f t="shared" si="31"/>
        <v>1.2232882090385365E-2</v>
      </c>
      <c r="R73" s="5">
        <f t="shared" si="31"/>
        <v>1.0566231868080811E-2</v>
      </c>
      <c r="S73" s="5">
        <f t="shared" si="31"/>
        <v>8.4638598216153337E-3</v>
      </c>
    </row>
    <row r="74" spans="1:19" ht="15">
      <c r="F74" s="68" t="s">
        <v>119</v>
      </c>
      <c r="H74" s="5">
        <f>(H21+H26)/($D$72)</f>
        <v>2.5193525813212758E-7</v>
      </c>
      <c r="I74" s="5">
        <f t="shared" ref="I74:S74" si="32">(I21+I26)/($D$72)</f>
        <v>1.3345291991685725E-6</v>
      </c>
      <c r="J74" s="5">
        <f t="shared" si="32"/>
        <v>5.6279787672749129E-6</v>
      </c>
      <c r="K74" s="5">
        <f t="shared" si="32"/>
        <v>1.9664838924103356E-5</v>
      </c>
      <c r="L74" s="5">
        <f t="shared" si="32"/>
        <v>5.6264902300813996E-5</v>
      </c>
      <c r="M74" s="5">
        <f t="shared" si="32"/>
        <v>1.0835025477509535E-4</v>
      </c>
      <c r="N74" s="5">
        <f t="shared" si="32"/>
        <v>9.0816334480945063E-5</v>
      </c>
      <c r="O74" s="5">
        <f t="shared" si="32"/>
        <v>4.7863512395087649E-5</v>
      </c>
      <c r="P74" s="5">
        <f t="shared" si="32"/>
        <v>4.4553800165232161E-5</v>
      </c>
      <c r="Q74" s="5">
        <f t="shared" si="32"/>
        <v>4.0776273634617885E-5</v>
      </c>
      <c r="R74" s="5">
        <f t="shared" si="32"/>
        <v>3.5220772893602707E-5</v>
      </c>
      <c r="S74" s="5">
        <f t="shared" si="32"/>
        <v>2.8212866072051112E-5</v>
      </c>
    </row>
  </sheetData>
  <phoneticPr fontId="8" type="noConversion"/>
  <conditionalFormatting sqref="B7:E8">
    <cfRule type="colorScale" priority="4">
      <colorScale>
        <cfvo type="min"/>
        <cfvo type="percentile" val="50"/>
        <cfvo type="max"/>
        <color rgb="FF63BE7B"/>
        <color rgb="FFFCFCFF"/>
        <color rgb="FFF8696B"/>
      </colorScale>
    </cfRule>
  </conditionalFormatting>
  <conditionalFormatting sqref="B14:E16">
    <cfRule type="colorScale" priority="3">
      <colorScale>
        <cfvo type="min"/>
        <cfvo type="percentile" val="50"/>
        <cfvo type="max"/>
        <color rgb="FF63BE7B"/>
        <color rgb="FFFCFCFF"/>
        <color rgb="FFF8696B"/>
      </colorScale>
    </cfRule>
  </conditionalFormatting>
  <conditionalFormatting sqref="B14:F15">
    <cfRule type="colorScale" priority="1">
      <colorScale>
        <cfvo type="min"/>
        <cfvo type="percentile" val="50"/>
        <cfvo type="max"/>
        <color rgb="FF63BE7B"/>
        <color rgb="FFFCFCFF"/>
        <color rgb="FFF8696B"/>
      </colorScale>
    </cfRule>
  </conditionalFormatting>
  <conditionalFormatting sqref="F14">
    <cfRule type="colorScale" priority="2">
      <colorScale>
        <cfvo type="min"/>
        <cfvo type="percentile" val="50"/>
        <cfvo type="max"/>
        <color rgb="FF63BE7B"/>
        <color rgb="FFFCFCFF"/>
        <color rgb="FFF8696B"/>
      </colorScale>
    </cfRule>
  </conditionalFormatting>
  <pageMargins left="0.7" right="0.7" top="0.75" bottom="0.75" header="0.3" footer="0.3"/>
  <pageSetup paperSize="9" orientation="portrait" horizontalDpi="1200" verticalDpi="120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7FFDB-7859-7842-B60E-E9A896296A21}">
  <sheetPr>
    <tabColor theme="5" tint="0.39997558519241921"/>
  </sheetPr>
  <dimension ref="A1:AC118"/>
  <sheetViews>
    <sheetView topLeftCell="J1" workbookViewId="0">
      <selection activeCell="R1" sqref="R1:S1"/>
    </sheetView>
  </sheetViews>
  <sheetFormatPr baseColWidth="10" defaultRowHeight="14.25"/>
  <cols>
    <col min="5" max="5" width="2.875" customWidth="1"/>
    <col min="6" max="6" width="11.625" bestFit="1" customWidth="1"/>
    <col min="7" max="7" width="13.375" bestFit="1" customWidth="1"/>
    <col min="8" max="8" width="14.625" bestFit="1" customWidth="1"/>
    <col min="9" max="11" width="13.5" bestFit="1" customWidth="1"/>
    <col min="12" max="14" width="13.625" bestFit="1" customWidth="1"/>
    <col min="15" max="16" width="14.375" bestFit="1" customWidth="1"/>
    <col min="17" max="17" width="3.25" customWidth="1"/>
    <col min="18" max="18" width="6.625" bestFit="1" customWidth="1"/>
    <col min="19" max="19" width="11.125" bestFit="1" customWidth="1"/>
    <col min="20" max="20" width="12.25" bestFit="1" customWidth="1"/>
    <col min="21" max="21" width="12.375" bestFit="1" customWidth="1"/>
    <col min="22" max="22" width="13.875" bestFit="1" customWidth="1"/>
    <col min="23" max="29" width="12.375" bestFit="1" customWidth="1"/>
  </cols>
  <sheetData>
    <row r="1" spans="1:27" ht="15" customHeight="1" thickBot="1">
      <c r="A1" s="12" t="s">
        <v>266</v>
      </c>
      <c r="B1" s="12" t="s">
        <v>267</v>
      </c>
      <c r="C1" s="12" t="s">
        <v>268</v>
      </c>
      <c r="D1" s="12" t="s">
        <v>269</v>
      </c>
      <c r="E1" s="259"/>
      <c r="F1" s="164" t="s">
        <v>274</v>
      </c>
      <c r="G1" s="165" t="s">
        <v>275</v>
      </c>
      <c r="H1" s="165" t="s">
        <v>276</v>
      </c>
      <c r="I1" s="165" t="s">
        <v>277</v>
      </c>
      <c r="J1" s="165" t="s">
        <v>278</v>
      </c>
      <c r="K1" s="165" t="s">
        <v>279</v>
      </c>
      <c r="L1" s="165" t="s">
        <v>280</v>
      </c>
      <c r="M1" s="165" t="s">
        <v>281</v>
      </c>
      <c r="N1" s="165" t="s">
        <v>282</v>
      </c>
      <c r="O1" s="165" t="s">
        <v>283</v>
      </c>
      <c r="P1" s="165" t="s">
        <v>284</v>
      </c>
      <c r="R1" s="325" t="s">
        <v>336</v>
      </c>
      <c r="S1" s="325"/>
    </row>
    <row r="2" spans="1:27" ht="15" thickBot="1">
      <c r="A2" s="12" t="s">
        <v>137</v>
      </c>
      <c r="B2" s="172">
        <v>-74.873000000000005</v>
      </c>
      <c r="C2" s="172">
        <v>186.251</v>
      </c>
      <c r="D2" s="172">
        <v>35.639000000000003</v>
      </c>
      <c r="E2" s="172"/>
      <c r="F2" s="166" t="s">
        <v>285</v>
      </c>
      <c r="G2" s="167" t="s">
        <v>286</v>
      </c>
      <c r="H2" s="170">
        <v>-0.70302900000000002</v>
      </c>
      <c r="I2" s="170">
        <v>108.4773</v>
      </c>
      <c r="J2" s="170">
        <v>-42.521569999999997</v>
      </c>
      <c r="K2" s="170">
        <v>5.8627880000000001</v>
      </c>
      <c r="L2" s="170">
        <v>0.67856499999999997</v>
      </c>
      <c r="M2" s="170">
        <v>-76.843760000000003</v>
      </c>
      <c r="N2" s="170">
        <v>158.71629999999999</v>
      </c>
      <c r="O2" s="170">
        <v>-74.873099999999994</v>
      </c>
      <c r="P2" s="170">
        <v>186.251</v>
      </c>
      <c r="R2" s="164" t="s">
        <v>274</v>
      </c>
      <c r="S2" s="164" t="s">
        <v>275</v>
      </c>
      <c r="T2" s="165" t="s">
        <v>276</v>
      </c>
      <c r="U2" s="165" t="s">
        <v>277</v>
      </c>
      <c r="V2" s="165" t="s">
        <v>278</v>
      </c>
      <c r="W2" s="165" t="s">
        <v>279</v>
      </c>
      <c r="X2" s="165" t="s">
        <v>280</v>
      </c>
      <c r="Y2" s="165" t="s">
        <v>281</v>
      </c>
      <c r="Z2" s="165" t="s">
        <v>282</v>
      </c>
      <c r="AA2" s="165" t="s">
        <v>283</v>
      </c>
    </row>
    <row r="3" spans="1:27" ht="15" thickBot="1">
      <c r="A3" s="12" t="s">
        <v>142</v>
      </c>
      <c r="B3" s="172">
        <v>-393.52199999999999</v>
      </c>
      <c r="C3" s="172">
        <v>213.79499999999999</v>
      </c>
      <c r="D3" s="172">
        <v>37.128999999999998</v>
      </c>
      <c r="E3" s="172"/>
      <c r="F3" s="168" t="s">
        <v>287</v>
      </c>
      <c r="G3" s="169" t="s">
        <v>288</v>
      </c>
      <c r="H3" s="171">
        <v>24.997350000000001</v>
      </c>
      <c r="I3" s="171">
        <v>55.186959999999999</v>
      </c>
      <c r="J3" s="171">
        <v>-33.691369999999999</v>
      </c>
      <c r="K3" s="171">
        <v>7.9483870000000003</v>
      </c>
      <c r="L3" s="171">
        <v>-0.13663800000000001</v>
      </c>
      <c r="M3" s="171">
        <v>-403.60750000000002</v>
      </c>
      <c r="N3" s="171">
        <v>228.2431</v>
      </c>
      <c r="O3" s="171">
        <v>-393.5224</v>
      </c>
      <c r="P3" s="171">
        <v>213.785</v>
      </c>
      <c r="R3" s="168" t="s">
        <v>296</v>
      </c>
      <c r="S3" s="168" t="s">
        <v>341</v>
      </c>
      <c r="T3" s="171">
        <v>0.11</v>
      </c>
      <c r="U3" s="171">
        <v>38.94</v>
      </c>
      <c r="V3" s="171">
        <v>-17.38</v>
      </c>
      <c r="W3" s="171">
        <v>0</v>
      </c>
      <c r="X3" s="171">
        <v>-0.14799999999999999</v>
      </c>
      <c r="Y3" s="171">
        <v>-2.1059999999999999</v>
      </c>
      <c r="Z3" s="171">
        <v>-5.7960000000000003</v>
      </c>
      <c r="AA3" s="171">
        <v>0</v>
      </c>
    </row>
    <row r="4" spans="1:27" ht="15" thickBot="1">
      <c r="A4" s="12" t="s">
        <v>145</v>
      </c>
      <c r="B4" s="172">
        <v>0</v>
      </c>
      <c r="C4" s="172">
        <v>130.68</v>
      </c>
      <c r="D4" s="172">
        <v>28.835999999999999</v>
      </c>
      <c r="E4" s="172"/>
      <c r="F4" s="166" t="s">
        <v>287</v>
      </c>
      <c r="G4" s="167" t="s">
        <v>289</v>
      </c>
      <c r="H4" s="170">
        <v>58.16639</v>
      </c>
      <c r="I4" s="170">
        <v>2.7200739999999999</v>
      </c>
      <c r="J4" s="170">
        <v>-0.49228899999999998</v>
      </c>
      <c r="K4" s="170">
        <v>3.8843999999999997E-2</v>
      </c>
      <c r="L4" s="170">
        <v>-6.4472930000000002</v>
      </c>
      <c r="M4" s="170">
        <v>-425.91860000000003</v>
      </c>
      <c r="N4" s="170">
        <v>263.61250000000001</v>
      </c>
      <c r="O4" s="170">
        <v>-393.5224</v>
      </c>
      <c r="P4" s="170" t="s">
        <v>290</v>
      </c>
      <c r="R4" s="168" t="s">
        <v>296</v>
      </c>
      <c r="S4" s="289" t="s">
        <v>340</v>
      </c>
      <c r="T4" s="170">
        <v>24.43</v>
      </c>
      <c r="U4" s="170">
        <v>0.44</v>
      </c>
      <c r="V4" s="170">
        <v>0</v>
      </c>
      <c r="W4" s="170">
        <v>0</v>
      </c>
      <c r="X4" s="170">
        <v>-0.31630000000000003</v>
      </c>
      <c r="Y4" s="170">
        <v>-11.331</v>
      </c>
      <c r="Z4" s="170">
        <v>29.446999999999999</v>
      </c>
      <c r="AA4" s="170">
        <v>0</v>
      </c>
    </row>
    <row r="5" spans="1:27" ht="15" customHeight="1" thickBot="1">
      <c r="A5" s="12" t="s">
        <v>272</v>
      </c>
      <c r="B5" s="172">
        <v>-110.527</v>
      </c>
      <c r="C5" s="172">
        <v>197.65299999999999</v>
      </c>
      <c r="D5" s="172">
        <v>29.141999999999999</v>
      </c>
      <c r="E5" s="172"/>
      <c r="F5" s="168" t="s">
        <v>272</v>
      </c>
      <c r="G5" s="169" t="s">
        <v>286</v>
      </c>
      <c r="H5" s="171">
        <v>25.567589999999999</v>
      </c>
      <c r="I5" s="171">
        <v>6.0961299999999996</v>
      </c>
      <c r="J5" s="171">
        <v>4.0546559999999996</v>
      </c>
      <c r="K5" s="171">
        <v>-2.6713010000000001</v>
      </c>
      <c r="L5" s="171">
        <v>0.131021</v>
      </c>
      <c r="M5" s="171">
        <v>-118.0089</v>
      </c>
      <c r="N5" s="171">
        <v>227.3665</v>
      </c>
      <c r="O5" s="171">
        <v>-110.5271</v>
      </c>
      <c r="P5" s="171">
        <v>197.66</v>
      </c>
      <c r="R5" s="324" t="s">
        <v>337</v>
      </c>
      <c r="S5" s="324"/>
    </row>
    <row r="6" spans="1:27" ht="15" thickBot="1">
      <c r="A6" s="12" t="s">
        <v>148</v>
      </c>
      <c r="B6" s="172">
        <v>-241.82599999999999</v>
      </c>
      <c r="C6" s="172">
        <v>188.834</v>
      </c>
      <c r="D6" s="172">
        <v>33.590000000000003</v>
      </c>
      <c r="E6" s="172"/>
      <c r="F6" s="166" t="s">
        <v>291</v>
      </c>
      <c r="G6" s="167" t="s">
        <v>292</v>
      </c>
      <c r="H6" s="170">
        <v>33.066178000000001</v>
      </c>
      <c r="I6" s="170">
        <v>-11.363417</v>
      </c>
      <c r="J6" s="170">
        <v>11.432816000000001</v>
      </c>
      <c r="K6" s="170">
        <v>-2.7728739999999998</v>
      </c>
      <c r="L6" s="170">
        <v>-0.158558</v>
      </c>
      <c r="M6" s="170">
        <v>-9.9807970000000008</v>
      </c>
      <c r="N6" s="170">
        <v>172.70797400000001</v>
      </c>
      <c r="O6" s="170">
        <v>0</v>
      </c>
      <c r="P6" s="170">
        <v>130.68</v>
      </c>
      <c r="R6" s="164" t="s">
        <v>274</v>
      </c>
      <c r="S6" s="164" t="s">
        <v>275</v>
      </c>
      <c r="T6" s="165" t="s">
        <v>276</v>
      </c>
      <c r="U6" s="165" t="s">
        <v>277</v>
      </c>
      <c r="V6" s="165" t="s">
        <v>278</v>
      </c>
      <c r="W6" s="165" t="s">
        <v>279</v>
      </c>
      <c r="X6" s="165" t="s">
        <v>280</v>
      </c>
      <c r="Y6" s="165" t="s">
        <v>281</v>
      </c>
      <c r="Z6" s="165" t="s">
        <v>282</v>
      </c>
      <c r="AA6" s="165" t="s">
        <v>283</v>
      </c>
    </row>
    <row r="7" spans="1:27" ht="15" thickBot="1">
      <c r="A7" s="12" t="s">
        <v>278</v>
      </c>
      <c r="B7" s="172">
        <v>0</v>
      </c>
      <c r="C7" s="172">
        <v>5.74</v>
      </c>
      <c r="D7" s="172">
        <v>8.52</v>
      </c>
      <c r="F7" s="168" t="s">
        <v>291</v>
      </c>
      <c r="G7" s="169" t="s">
        <v>293</v>
      </c>
      <c r="H7" s="171">
        <v>18.563082999999999</v>
      </c>
      <c r="I7" s="171">
        <v>12.257357000000001</v>
      </c>
      <c r="J7" s="171">
        <v>-2.8597860000000002</v>
      </c>
      <c r="K7" s="171">
        <v>0.26823799999999998</v>
      </c>
      <c r="L7" s="171">
        <v>1.9779899999999999</v>
      </c>
      <c r="M7" s="171">
        <v>-1.147438</v>
      </c>
      <c r="N7" s="171">
        <v>156.28813299999999</v>
      </c>
      <c r="O7" s="171">
        <v>0</v>
      </c>
      <c r="P7" s="171" t="s">
        <v>290</v>
      </c>
      <c r="R7" s="168" t="s">
        <v>296</v>
      </c>
      <c r="S7" s="168" t="s">
        <v>339</v>
      </c>
      <c r="T7" s="171">
        <v>0.49042000000000002</v>
      </c>
      <c r="U7" s="171">
        <v>10.36199</v>
      </c>
      <c r="V7" s="171">
        <v>-4.1707270000000003</v>
      </c>
      <c r="W7" s="171">
        <v>0.66674999999999995</v>
      </c>
      <c r="X7" s="171">
        <v>0.60060999999999998</v>
      </c>
      <c r="Y7" s="171">
        <v>-2.8056000000000001E-2</v>
      </c>
      <c r="Z7" s="171">
        <v>2.8593500000000001</v>
      </c>
      <c r="AA7" s="171">
        <v>0</v>
      </c>
    </row>
    <row r="8" spans="1:27" ht="15" thickBot="1">
      <c r="F8" s="166" t="s">
        <v>294</v>
      </c>
      <c r="G8" s="167" t="s">
        <v>295</v>
      </c>
      <c r="H8" s="170">
        <v>30.091999999999999</v>
      </c>
      <c r="I8" s="170">
        <v>6.8325139999999998</v>
      </c>
      <c r="J8" s="170">
        <v>6.7934349999999997</v>
      </c>
      <c r="K8" s="170">
        <v>-2.5344799999999998</v>
      </c>
      <c r="L8" s="170">
        <v>8.2139000000000004E-2</v>
      </c>
      <c r="M8" s="170">
        <v>-250.881</v>
      </c>
      <c r="N8" s="170">
        <v>223.39670000000001</v>
      </c>
      <c r="O8" s="170">
        <v>-241.82640000000001</v>
      </c>
      <c r="P8" s="170">
        <v>188.83500000000001</v>
      </c>
      <c r="R8" s="168" t="s">
        <v>296</v>
      </c>
      <c r="S8" s="289" t="s">
        <v>338</v>
      </c>
      <c r="T8" s="170">
        <v>17.853899999999999</v>
      </c>
      <c r="U8" s="170">
        <v>1.497698</v>
      </c>
      <c r="V8" s="170">
        <v>-0.182476</v>
      </c>
      <c r="W8" s="170">
        <v>8.5009999999999999E-3</v>
      </c>
      <c r="X8" s="170">
        <v>-1.297698</v>
      </c>
      <c r="Y8" s="170">
        <v>-8.6637400000000007</v>
      </c>
      <c r="Z8" s="170">
        <v>26.72484</v>
      </c>
      <c r="AA8" s="170">
        <v>0</v>
      </c>
    </row>
    <row r="9" spans="1:27" ht="16.5" thickBot="1">
      <c r="A9" s="25" t="s">
        <v>120</v>
      </c>
      <c r="B9" s="26">
        <v>8.3140000000000001</v>
      </c>
      <c r="C9" s="26" t="s">
        <v>121</v>
      </c>
      <c r="F9" s="168" t="s">
        <v>296</v>
      </c>
      <c r="G9" s="169" t="s">
        <v>288</v>
      </c>
      <c r="H9" s="287"/>
      <c r="I9" s="287"/>
      <c r="J9" s="287"/>
      <c r="K9" s="287"/>
      <c r="L9" s="287"/>
      <c r="M9" s="287"/>
      <c r="N9" s="287"/>
      <c r="O9" s="287"/>
      <c r="P9" s="287"/>
    </row>
    <row r="10" spans="1:27">
      <c r="A10" t="s">
        <v>42</v>
      </c>
      <c r="B10" s="30">
        <f>'Domain-Shift'!L22</f>
        <v>678000000000000</v>
      </c>
    </row>
    <row r="11" spans="1:27">
      <c r="A11" t="s">
        <v>43</v>
      </c>
      <c r="B11" s="33">
        <f>'Domain-Shift'!L23</f>
        <v>259660</v>
      </c>
      <c r="G11" s="238" t="s">
        <v>297</v>
      </c>
      <c r="H11" s="239">
        <v>700</v>
      </c>
      <c r="I11" s="239">
        <v>800</v>
      </c>
      <c r="J11" s="239">
        <v>900</v>
      </c>
      <c r="K11" s="239">
        <v>1000</v>
      </c>
      <c r="L11" s="239">
        <v>1073</v>
      </c>
      <c r="M11" s="239">
        <v>1100</v>
      </c>
      <c r="N11" s="239">
        <v>1200</v>
      </c>
      <c r="O11" s="239">
        <v>1273</v>
      </c>
      <c r="P11" s="240">
        <v>1300</v>
      </c>
    </row>
    <row r="12" spans="1:27">
      <c r="A12" t="s">
        <v>44</v>
      </c>
      <c r="B12" s="33">
        <f>'Domain-Shift'!L24</f>
        <v>56.497100000000003</v>
      </c>
      <c r="G12" s="241" t="s">
        <v>298</v>
      </c>
      <c r="H12" s="242">
        <f>H11/1000</f>
        <v>0.7</v>
      </c>
      <c r="I12" s="242">
        <f t="shared" ref="I12:P12" si="0">I11/1000</f>
        <v>0.8</v>
      </c>
      <c r="J12" s="242">
        <f t="shared" si="0"/>
        <v>0.9</v>
      </c>
      <c r="K12" s="242">
        <f t="shared" si="0"/>
        <v>1</v>
      </c>
      <c r="L12" s="242">
        <f t="shared" si="0"/>
        <v>1.073</v>
      </c>
      <c r="M12" s="242">
        <f t="shared" si="0"/>
        <v>1.1000000000000001</v>
      </c>
      <c r="N12" s="242">
        <f t="shared" si="0"/>
        <v>1.2</v>
      </c>
      <c r="O12" s="242">
        <f t="shared" si="0"/>
        <v>1.2729999999999999</v>
      </c>
      <c r="P12" s="243">
        <f t="shared" si="0"/>
        <v>1.3</v>
      </c>
    </row>
    <row r="13" spans="1:27" ht="15">
      <c r="A13" t="s">
        <v>45</v>
      </c>
      <c r="B13" s="33">
        <f>'Domain-Shift'!L25</f>
        <v>36580</v>
      </c>
      <c r="F13" s="224" t="s">
        <v>137</v>
      </c>
      <c r="G13" s="173" t="s">
        <v>301</v>
      </c>
      <c r="H13" s="266">
        <f>($H$2*H$12)+(($I$2*H$12^2)/2)+(($J$2*H$12^3)/3)+(($K$2*H$12^4)/4)-($L$2/H$12)+$M$2-$O$2</f>
        <v>18.635060641604753</v>
      </c>
      <c r="I13" s="264">
        <f t="shared" ref="I13:P13" si="1">($H$2*I$12)+(($I$2*I$12^2)/2)+(($J$2*I$12^3)/3)+(($K$2*I$12^4)/4)-($L$2/I$12)+$M$2-$O$2</f>
        <v>24.674781427866662</v>
      </c>
      <c r="J13" s="264">
        <f t="shared" si="1"/>
        <v>31.204861580588883</v>
      </c>
      <c r="K13" s="264">
        <f t="shared" si="1"/>
        <v>38.178236333333324</v>
      </c>
      <c r="L13" s="264">
        <f t="shared" si="1"/>
        <v>43.521945208141744</v>
      </c>
      <c r="M13" s="264">
        <f t="shared" si="1"/>
        <v>45.54842108163939</v>
      </c>
      <c r="N13" s="264">
        <f t="shared" si="1"/>
        <v>53.270735345866655</v>
      </c>
      <c r="O13" s="264">
        <f t="shared" si="1"/>
        <v>59.106010535833867</v>
      </c>
      <c r="P13" s="265">
        <f t="shared" si="1"/>
        <v>61.302961828110234</v>
      </c>
    </row>
    <row r="14" spans="1:27">
      <c r="A14" t="s">
        <v>183</v>
      </c>
      <c r="B14" s="30">
        <v>298000</v>
      </c>
      <c r="G14" s="174" t="s">
        <v>299</v>
      </c>
      <c r="H14" s="267">
        <f t="shared" ref="H14:P14" si="2">($H$2*LN(H$12))+($I$2*H$12)+(($J$2*H$12^2)/2)+(($K$2*H$12^3)/3)-($L$2/(2*H$12^2))+$N$2</f>
        <v>224.46127700852281</v>
      </c>
      <c r="I14" s="263">
        <f t="shared" si="2"/>
        <v>232.5185675668202</v>
      </c>
      <c r="J14" s="263">
        <f t="shared" si="2"/>
        <v>240.20449584801179</v>
      </c>
      <c r="K14" s="263">
        <f t="shared" si="2"/>
        <v>247.54779516666667</v>
      </c>
      <c r="L14" s="263">
        <f t="shared" si="2"/>
        <v>252.70431174842972</v>
      </c>
      <c r="M14" s="263">
        <f t="shared" si="2"/>
        <v>254.5694991786051</v>
      </c>
      <c r="N14" s="263">
        <f t="shared" si="2"/>
        <v>261.28670529902644</v>
      </c>
      <c r="O14" s="263">
        <f t="shared" si="2"/>
        <v>266.00663817765621</v>
      </c>
      <c r="P14" s="262">
        <f t="shared" si="2"/>
        <v>267.71436986644267</v>
      </c>
    </row>
    <row r="15" spans="1:27">
      <c r="A15" t="s">
        <v>184</v>
      </c>
      <c r="B15" s="33">
        <v>84440</v>
      </c>
      <c r="G15" s="99" t="s">
        <v>300</v>
      </c>
      <c r="H15" s="268">
        <f t="shared" ref="H15:P15" si="3">$H$2+($I$2*H$12)+($J$2*H$12^2)+($K$2*H$12^3)+($L$2/(H$12^2))</f>
        <v>57.79127451461224</v>
      </c>
      <c r="I15" s="260">
        <f t="shared" si="3"/>
        <v>62.927011468499998</v>
      </c>
      <c r="J15" s="260">
        <f t="shared" si="3"/>
        <v>67.595776319901233</v>
      </c>
      <c r="K15" s="260">
        <f t="shared" si="3"/>
        <v>71.794054000000003</v>
      </c>
      <c r="L15" s="260">
        <f t="shared" si="3"/>
        <v>74.568920330192157</v>
      </c>
      <c r="M15" s="260">
        <f t="shared" si="3"/>
        <v>75.53506964866115</v>
      </c>
      <c r="N15" s="260">
        <f t="shared" si="3"/>
        <v>78.840793558444446</v>
      </c>
      <c r="O15" s="260">
        <f t="shared" si="3"/>
        <v>80.994408421789259</v>
      </c>
      <c r="P15" s="261">
        <f t="shared" si="3"/>
        <v>81.738070687479293</v>
      </c>
    </row>
    <row r="16" spans="1:27">
      <c r="A16" t="s">
        <v>186</v>
      </c>
      <c r="B16" s="30">
        <v>1930000000</v>
      </c>
      <c r="H16" s="49"/>
      <c r="I16" s="49"/>
      <c r="J16" s="49"/>
      <c r="K16" s="49"/>
      <c r="L16" s="49"/>
      <c r="M16" s="49"/>
      <c r="N16" s="49"/>
      <c r="O16" s="49"/>
      <c r="P16" s="49"/>
    </row>
    <row r="17" spans="1:28" ht="15">
      <c r="A17" t="s">
        <v>187</v>
      </c>
      <c r="B17" s="33">
        <v>168527</v>
      </c>
      <c r="F17" s="224" t="s">
        <v>142</v>
      </c>
      <c r="G17" s="173" t="s">
        <v>301</v>
      </c>
      <c r="H17" s="266">
        <f>($H$3*H$12)+(($I$3*H$12^2)/2)+(($J$3*H$12^3)/3)+(($K$3*H$12^4)/4)-($L$3/H$12)+$M$3-$O$3</f>
        <v>17.754102635865479</v>
      </c>
      <c r="I17" s="264">
        <f t="shared" ref="I17:M17" si="4">($H$3*I$12)+(($I$3*I$12^2)/2)+(($J$3*I$12^3)/3)+(($K$3*I$12^4)/4)-($L$3/I$12)+$M$3-$O$3</f>
        <v>22.807325715466675</v>
      </c>
      <c r="J17" s="264">
        <f t="shared" si="4"/>
        <v>28.031785067675003</v>
      </c>
      <c r="K17" s="264">
        <f t="shared" si="4"/>
        <v>33.399008083333285</v>
      </c>
      <c r="L17" s="264">
        <f t="shared" si="4"/>
        <v>37.393748410851572</v>
      </c>
      <c r="M17" s="264">
        <f t="shared" si="4"/>
        <v>38.885882691977997</v>
      </c>
      <c r="N17" s="176">
        <f>($H$3*N$12)+(($I$3*N$12^2)/2)+(($J$3*N$12^3)/3)+(($K$3*N$12^4)/4)-($L$3/N$12)+$M$3-$O$3</f>
        <v>44.474410900799967</v>
      </c>
      <c r="O17" s="264">
        <f>($H$4*O$12)+(($I$4*O$12^2)/2)+(($J$4*O$12^3)/3)+(($K$4*O$12^4)/4)-($L$4/O$12)+$M$4-$O$4</f>
        <v>48.605221188544135</v>
      </c>
      <c r="P17" s="265">
        <f>($H$4*P$12)+(($I$4*P$12^2)/2)+(($J$4*P$12^3)/3)+(($K$4*P$12^4)/4)-($L$4/P$12)+$M$4-$O$4</f>
        <v>50.145241626612801</v>
      </c>
    </row>
    <row r="18" spans="1:28">
      <c r="G18" s="174" t="s">
        <v>299</v>
      </c>
      <c r="H18" s="267">
        <f t="shared" ref="H18:N18" si="5">($H$3*LN(H$12))+($I$3*H$12)+(($J$3*H$12^2)/2)+(($K$3*H$12^3)/3)-($L$3/(2*H$12^2))+$N$3</f>
        <v>250.75185005107869</v>
      </c>
      <c r="I18" s="263">
        <f t="shared" si="5"/>
        <v>257.49670529972241</v>
      </c>
      <c r="J18" s="263">
        <f t="shared" si="5"/>
        <v>263.64842794936527</v>
      </c>
      <c r="K18" s="263">
        <f t="shared" si="5"/>
        <v>269.3021563333333</v>
      </c>
      <c r="L18" s="263">
        <f t="shared" si="5"/>
        <v>273.15747876601824</v>
      </c>
      <c r="M18" s="263">
        <f t="shared" si="5"/>
        <v>274.53087542226939</v>
      </c>
      <c r="N18" s="244">
        <f t="shared" si="5"/>
        <v>279.39293602972333</v>
      </c>
      <c r="O18" s="263">
        <f>($H$4*LN(O$12))+($I$4*O$12)+(($J$4*O$12^2)/2)+(($K$4*O$12^3)/3)-($L$4/(2*O$12^2))+$N$4</f>
        <v>282.73222557360475</v>
      </c>
      <c r="P18" s="262">
        <f>($H$4*LN(P$12))+($I$4*P$12)+(($J$4*P$12^2)/2)+(($K$4*P$12^3)/3)-($L$4/(2*P$12^2))+$N$4</f>
        <v>283.92932401617389</v>
      </c>
    </row>
    <row r="19" spans="1:28">
      <c r="G19" s="99" t="s">
        <v>300</v>
      </c>
      <c r="H19" s="268">
        <f t="shared" ref="H19:N19" si="6">$H$3+($I$3*H$12)+($J$3*H$12^2)+($K$3*H$12^3)+($L$3/(H$12^2))</f>
        <v>49.566894379775512</v>
      </c>
      <c r="I19" s="260">
        <f t="shared" si="6"/>
        <v>51.440518469000004</v>
      </c>
      <c r="J19" s="260">
        <f t="shared" si="6"/>
        <v>53.001289534111116</v>
      </c>
      <c r="K19" s="260">
        <f t="shared" si="6"/>
        <v>54.304689000000003</v>
      </c>
      <c r="L19" s="260">
        <f t="shared" si="6"/>
        <v>55.123674921798461</v>
      </c>
      <c r="M19" s="260">
        <f t="shared" si="6"/>
        <v>55.402827430057854</v>
      </c>
      <c r="N19" s="260">
        <f t="shared" si="6"/>
        <v>56.346054436000003</v>
      </c>
      <c r="O19" s="260">
        <f>$H$4+($I$4*O$12)+($J$4*O$12^2)+($K$4*O$12^3)+($L$4/(O$12^2))</f>
        <v>56.932896848804617</v>
      </c>
      <c r="P19" s="261">
        <f>$H$4+($I$4*P$12)+($J$4*P$12^2)+($K$4*P$12^3)+($L$4/(P$12^2))</f>
        <v>57.140891785810652</v>
      </c>
    </row>
    <row r="20" spans="1:28">
      <c r="H20" s="49"/>
      <c r="I20" s="49"/>
      <c r="J20" s="49"/>
      <c r="K20" s="49"/>
      <c r="L20" s="49"/>
      <c r="M20" s="49"/>
      <c r="N20" s="49"/>
      <c r="O20" s="49"/>
      <c r="P20" s="49"/>
    </row>
    <row r="21" spans="1:28" ht="15">
      <c r="F21" s="224" t="s">
        <v>145</v>
      </c>
      <c r="G21" s="173" t="s">
        <v>301</v>
      </c>
      <c r="H21" s="266">
        <f>($H$6*H$12)+(($I$6*H$12^2)/2)+(($J$6*H$12^3)/3)+(($K$6*H$12^4)/4)-($L$6/H$12)+$M$6-$O$6</f>
        <v>11.748712064388092</v>
      </c>
      <c r="I21" s="264">
        <f t="shared" ref="I21:J21" si="7">($H$6*I$12)+(($I$6*I$12^2)/2)+(($J$6*I$12^3)/3)+(($K$6*I$12^4)/4)-($L$6/I$12)+$M$6-$O$6</f>
        <v>14.701307759733334</v>
      </c>
      <c r="J21" s="264">
        <f t="shared" si="7"/>
        <v>17.67610850070556</v>
      </c>
      <c r="K21" s="176">
        <f>($H$6*K$12)+(($I$6*K$12^2)/2)+(($J$6*K$12^3)/3)+(($K$6*K$12^4)/4)-($L$6/K$12)+$M$6-$O$6</f>
        <v>20.679950666666663</v>
      </c>
      <c r="L21" s="264">
        <f>($H$7*L$12)+(($I$7*L$12^2)/2)+(($J$7*L$12^3)/3)+(($K$7*L$12^4)/4)-($L$7/L$12)+$M$7-$O$7</f>
        <v>22.894709306107337</v>
      </c>
      <c r="M21" s="264">
        <f t="shared" ref="M21:P21" si="8">($H$7*M$12)+(($I$7*M$12^2)/2)+(($J$7*M$12^3)/3)+(($K$7*M$12^4)/4)-($L$7/M$12)+$M$7-$O$7</f>
        <v>23.718871649677272</v>
      </c>
      <c r="N21" s="264">
        <f t="shared" si="8"/>
        <v>26.797051483199997</v>
      </c>
      <c r="O21" s="264">
        <f t="shared" si="8"/>
        <v>29.070855730417374</v>
      </c>
      <c r="P21" s="265">
        <f t="shared" si="8"/>
        <v>29.917717819719233</v>
      </c>
    </row>
    <row r="22" spans="1:28">
      <c r="G22" s="174" t="s">
        <v>299</v>
      </c>
      <c r="H22" s="267">
        <f>($H$6*LN(H$12))+($I$6*H$12)+(($J$6*H$12^2)/2)+(($K$6*H$12^3)/3)-($L$6/(2*H$12^2))+$N$6</f>
        <v>155.60550678579955</v>
      </c>
      <c r="I22" s="263">
        <f>($H$6*LN(I$12))+($I$6*I$12)+(($J$6*I$12^2)/2)+(($K$6*I$12^3)/3)-($L$6/(2*I$12^2))+$N$6</f>
        <v>159.54787340752554</v>
      </c>
      <c r="J22" s="263">
        <f>($H$6*LN(J$12))+($I$6*J$12)+(($J$6*J$12^2)/2)+(($K$6*J$12^3)/3)-($L$6/(2*J$12^2))+$N$6</f>
        <v>163.0513865417285</v>
      </c>
      <c r="K22" s="263">
        <f t="shared" ref="K22:P22" si="9">($H$7*LN(K$12))+($I$7*K$12)+(($J$7*K$12^2)/2)+(($K$7*K$12^3)/3)-($L$7/(2*K$12^2))+$N$7</f>
        <v>166.21601466666667</v>
      </c>
      <c r="L22" s="263">
        <f t="shared" si="9"/>
        <v>168.35338141242494</v>
      </c>
      <c r="M22" s="263">
        <f t="shared" si="9"/>
        <v>169.1119629681165</v>
      </c>
      <c r="N22" s="263">
        <f t="shared" si="9"/>
        <v>171.79006867612205</v>
      </c>
      <c r="O22" s="263">
        <f t="shared" si="9"/>
        <v>173.62941496587266</v>
      </c>
      <c r="P22" s="262">
        <f t="shared" si="9"/>
        <v>174.28770303419881</v>
      </c>
    </row>
    <row r="23" spans="1:28">
      <c r="G23" s="99" t="s">
        <v>300</v>
      </c>
      <c r="H23" s="268">
        <f>$H$6+($I$6*H$12)+($J$6*H$12^2)+($K$6*H$12^3)+($L$6/(H$12^2))</f>
        <v>29.439182402897966</v>
      </c>
      <c r="I23" s="260">
        <f>$H$6+($I$6*I$12)+($J$6*I$12^2)+($K$6*I$12^3)+($L$6/(I$12^2))</f>
        <v>29.624988277</v>
      </c>
      <c r="J23" s="260">
        <f>$H$6+($I$6*J$12)+($J$6*J$12^2)+($K$6*J$12^3)+($L$6/(J$12^2))</f>
        <v>29.882507896716046</v>
      </c>
      <c r="K23" s="260">
        <f>$H$6+($I$6*K$12)+($J$6*K$12^2)+($K$6*K$12^3)+($L$6/(K$12^2))</f>
        <v>30.204145000000004</v>
      </c>
      <c r="L23" s="260">
        <f>$H$7+($I$7*L$12)+($J$7*L$12^2)+($K$7*L$12^3)+($L$7/(L$12^2))</f>
        <v>30.472053184563642</v>
      </c>
      <c r="M23" s="260">
        <f>$H$7+($I$7*M$12)+($J$7*M$12^2)+($K$7*M$12^3)+($L$7/(M$12^2))</f>
        <v>30.577561897338839</v>
      </c>
      <c r="N23" s="260">
        <f>$H$7+($I$7*N$12)+($J$7*N$12^2)+($K$7*N$12^3)+($L$7/(N$12^2))</f>
        <v>30.99093899066667</v>
      </c>
      <c r="O23" s="260">
        <f>$H$7+($I$7*O$12)+($J$7*O$12^2)+($K$7*O$12^3)+($L$7/(O$12^2))</f>
        <v>31.306272356535885</v>
      </c>
      <c r="P23" s="261">
        <f>$H$7+($I$7*P$12)+($J$7*P$12^2)+($K$7*P$12^3)+($L$7/(P$12^2))</f>
        <v>31.42433593002367</v>
      </c>
    </row>
    <row r="24" spans="1:28">
      <c r="H24" s="49"/>
      <c r="I24" s="49"/>
      <c r="J24" s="49"/>
      <c r="K24" s="49"/>
      <c r="L24" s="49"/>
      <c r="M24" s="49"/>
      <c r="N24" s="49"/>
      <c r="O24" s="49"/>
      <c r="P24" s="49"/>
    </row>
    <row r="25" spans="1:28" ht="15">
      <c r="F25" s="224" t="s">
        <v>272</v>
      </c>
      <c r="G25" s="173" t="s">
        <v>301</v>
      </c>
      <c r="H25" s="266">
        <f>($H$5*H$12)+(($I$5*H$12^2)/2)+(($J$5*H$12^3)/3)+(($K$5*H$12^4)/4)-($L$5/H$12)+$M$5-$O$5</f>
        <v>12.025129486332148</v>
      </c>
      <c r="I25" s="264">
        <f t="shared" ref="I25:P25" si="10">($H$5*I$12)+(($I$5*I$12^2)/2)+(($J$5*I$12^3)/3)+(($K$5*I$12^4)/4)-($L$5/I$12)+$M$5-$O$5</f>
        <v>15.177710751600003</v>
      </c>
      <c r="J25" s="264">
        <f t="shared" si="10"/>
        <v>18.399506022586124</v>
      </c>
      <c r="K25" s="264">
        <f t="shared" si="10"/>
        <v>21.686560750000012</v>
      </c>
      <c r="L25" s="264">
        <f t="shared" si="10"/>
        <v>24.123876034664718</v>
      </c>
      <c r="M25" s="264">
        <f t="shared" si="10"/>
        <v>25.032750413475014</v>
      </c>
      <c r="N25" s="264">
        <f t="shared" si="10"/>
        <v>28.430016850933342</v>
      </c>
      <c r="O25" s="264">
        <f t="shared" si="10"/>
        <v>30.936673166751362</v>
      </c>
      <c r="P25" s="265">
        <f t="shared" si="10"/>
        <v>31.868495512859624</v>
      </c>
    </row>
    <row r="26" spans="1:28">
      <c r="G26" s="174" t="s">
        <v>299</v>
      </c>
      <c r="H26" s="267">
        <f t="shared" ref="H26:P26" si="11">($H$5*LN(H$12))+($I$5*H$12)+(($J$5*H$12^2)/2)+(($K$5*H$12^3)/3)-($L$5/(2*H$12^2))+$N$5</f>
        <v>223.06874934447566</v>
      </c>
      <c r="I26" s="263">
        <f t="shared" si="11"/>
        <v>227.277388895271</v>
      </c>
      <c r="J26" s="263">
        <f t="shared" si="11"/>
        <v>231.0713349099783</v>
      </c>
      <c r="K26" s="263">
        <f t="shared" si="11"/>
        <v>234.53401383333335</v>
      </c>
      <c r="L26" s="263">
        <f t="shared" si="11"/>
        <v>236.88630182729318</v>
      </c>
      <c r="M26" s="263">
        <f t="shared" si="11"/>
        <v>237.72285336063902</v>
      </c>
      <c r="N26" s="263">
        <f t="shared" si="11"/>
        <v>240.67856835349176</v>
      </c>
      <c r="O26" s="263">
        <f t="shared" si="11"/>
        <v>242.70629733491927</v>
      </c>
      <c r="P26" s="262">
        <f t="shared" si="11"/>
        <v>243.43062888942225</v>
      </c>
    </row>
    <row r="27" spans="1:28">
      <c r="G27" s="99" t="s">
        <v>300</v>
      </c>
      <c r="H27" s="268">
        <f t="shared" ref="H27:P27" si="12">$H$5+($I$5*H$12)+($J$5*H$12^2)+($K$5*H$12^3)+($L$5/(H$12^2))</f>
        <v>31.172795992918367</v>
      </c>
      <c r="I27" s="260">
        <f t="shared" si="12"/>
        <v>31.8764880405</v>
      </c>
      <c r="J27" s="260">
        <f t="shared" si="12"/>
        <v>32.552754251987658</v>
      </c>
      <c r="K27" s="260">
        <f t="shared" si="12"/>
        <v>33.178095999999996</v>
      </c>
      <c r="L27" s="260">
        <f t="shared" si="12"/>
        <v>33.590719129607415</v>
      </c>
      <c r="M27" s="260">
        <f t="shared" si="12"/>
        <v>33.732246947181821</v>
      </c>
      <c r="N27" s="260">
        <f t="shared" si="12"/>
        <v>34.196629317555548</v>
      </c>
      <c r="O27" s="260">
        <f t="shared" si="12"/>
        <v>34.468785782485874</v>
      </c>
      <c r="P27" s="261">
        <f t="shared" si="12"/>
        <v>34.553606561934913</v>
      </c>
    </row>
    <row r="28" spans="1:28">
      <c r="H28" s="49"/>
      <c r="I28" s="49"/>
      <c r="J28" s="49"/>
      <c r="K28" s="49"/>
      <c r="L28" s="49"/>
      <c r="M28" s="49"/>
      <c r="N28" s="49"/>
      <c r="O28" s="49"/>
      <c r="P28" s="49"/>
    </row>
    <row r="29" spans="1:28" ht="15">
      <c r="F29" s="224" t="s">
        <v>148</v>
      </c>
      <c r="G29" s="173" t="s">
        <v>301</v>
      </c>
      <c r="H29" s="266">
        <f>($H$8*H$12)+(($I$8*H$12^2)/2)+(($J$8*H$12^3)/3)+(($K$8*H$12^4)/4)-($L$8/H$12)+$M$8-$O$8</f>
        <v>14.191008407761899</v>
      </c>
      <c r="I29" s="264">
        <f t="shared" ref="I29:P29" si="13">($H$8*I$12)+(($I$8*I$12^2)/2)+(($J$8*I$12^3)/3)+(($K$8*I$12^4)/4)-($L$8/I$12)+$M$8-$O$8</f>
        <v>18.002612884666661</v>
      </c>
      <c r="J29" s="264">
        <f t="shared" si="13"/>
        <v>21.939189237444452</v>
      </c>
      <c r="K29" s="264">
        <f t="shared" si="13"/>
        <v>26.002376333333331</v>
      </c>
      <c r="L29" s="264">
        <f t="shared" si="13"/>
        <v>29.048382832018035</v>
      </c>
      <c r="M29" s="264">
        <f t="shared" si="13"/>
        <v>30.191936771484876</v>
      </c>
      <c r="N29" s="264">
        <f t="shared" si="13"/>
        <v>34.505905041333335</v>
      </c>
      <c r="O29" s="264">
        <f t="shared" si="13"/>
        <v>37.731645102059133</v>
      </c>
      <c r="P29" s="265">
        <f t="shared" si="13"/>
        <v>38.940667300179484</v>
      </c>
      <c r="R29" s="224" t="s">
        <v>278</v>
      </c>
      <c r="S29" s="173" t="s">
        <v>301</v>
      </c>
      <c r="T29" s="288">
        <v>5.742</v>
      </c>
      <c r="U29" s="282">
        <v>7.6559999999999997</v>
      </c>
      <c r="V29" s="282">
        <v>9.6809999999999992</v>
      </c>
      <c r="W29" s="282">
        <v>11.795999999999999</v>
      </c>
      <c r="X29" s="282">
        <v>13.386799999999999</v>
      </c>
      <c r="Y29" s="282">
        <v>13.984</v>
      </c>
      <c r="Z29" s="282">
        <v>16.231999999999999</v>
      </c>
      <c r="AA29" s="282">
        <v>17.905899999999999</v>
      </c>
      <c r="AB29" s="283">
        <v>18.530999999999999</v>
      </c>
    </row>
    <row r="30" spans="1:28">
      <c r="G30" s="174" t="s">
        <v>299</v>
      </c>
      <c r="H30" s="267">
        <f t="shared" ref="H30:P30" si="14">($H$8*LN(H$12))+($I$8*H$12)+(($J$8*H$12^2)/2)+(($K$8*H$12^3)/3)-($L$8/(2*H$12^2))+$N$8</f>
        <v>218.73719810920656</v>
      </c>
      <c r="I30" s="263">
        <f t="shared" si="14"/>
        <v>223.82505230676949</v>
      </c>
      <c r="J30" s="263">
        <f t="shared" si="14"/>
        <v>228.46021341140494</v>
      </c>
      <c r="K30" s="263">
        <f t="shared" si="14"/>
        <v>232.74003533333334</v>
      </c>
      <c r="L30" s="263">
        <f t="shared" si="14"/>
        <v>235.6796129851659</v>
      </c>
      <c r="M30" s="263">
        <f t="shared" si="14"/>
        <v>236.73216147680122</v>
      </c>
      <c r="N30" s="263">
        <f t="shared" si="14"/>
        <v>240.48502932093257</v>
      </c>
      <c r="O30" s="263">
        <f t="shared" si="14"/>
        <v>243.09430131443918</v>
      </c>
      <c r="P30" s="262">
        <f t="shared" si="14"/>
        <v>244.03410055539914</v>
      </c>
      <c r="S30" s="174" t="s">
        <v>299</v>
      </c>
      <c r="T30" s="284">
        <v>17.321000000000002</v>
      </c>
      <c r="U30" s="285">
        <v>19.875</v>
      </c>
      <c r="V30" s="285">
        <v>22.259</v>
      </c>
      <c r="W30" s="285">
        <v>24.486999999999998</v>
      </c>
      <c r="X30" s="285">
        <v>26.021699999999999</v>
      </c>
      <c r="Y30" s="285">
        <v>26.571000000000002</v>
      </c>
      <c r="Z30" s="285">
        <v>28.527000000000001</v>
      </c>
      <c r="AA30" s="285">
        <v>29.8811</v>
      </c>
      <c r="AB30" s="286">
        <v>30.367000000000001</v>
      </c>
    </row>
    <row r="31" spans="1:28">
      <c r="G31" s="99" t="s">
        <v>300</v>
      </c>
      <c r="H31" s="268">
        <f t="shared" ref="H31:P31" si="15">$H$8+($I$8*H$12)+($J$8*H$12^2)+($K$8*H$12^3)+($L$8/(H$12^2))</f>
        <v>37.501846922244901</v>
      </c>
      <c r="I31" s="260">
        <f t="shared" si="15"/>
        <v>38.736498027499998</v>
      </c>
      <c r="J31" s="260">
        <f t="shared" si="15"/>
        <v>39.997715202839501</v>
      </c>
      <c r="K31" s="260">
        <f t="shared" si="15"/>
        <v>41.265608</v>
      </c>
      <c r="L31" s="260">
        <f t="shared" si="15"/>
        <v>42.185073209512943</v>
      </c>
      <c r="M31" s="260">
        <f t="shared" si="15"/>
        <v>42.522312341074382</v>
      </c>
      <c r="N31" s="260">
        <f t="shared" si="15"/>
        <v>43.751022732222218</v>
      </c>
      <c r="O31" s="260">
        <f t="shared" si="15"/>
        <v>44.620971797472727</v>
      </c>
      <c r="P31" s="261">
        <f t="shared" si="15"/>
        <v>44.935523748579875</v>
      </c>
      <c r="S31" s="99" t="s">
        <v>300</v>
      </c>
      <c r="T31" s="275">
        <v>11.234740300000002</v>
      </c>
      <c r="U31" s="177">
        <v>12.060562700000002</v>
      </c>
      <c r="V31" s="177">
        <v>12.762802258024692</v>
      </c>
      <c r="W31" s="177">
        <v>13.35928</v>
      </c>
      <c r="X31" s="177">
        <v>13.739099135499703</v>
      </c>
      <c r="Y31" s="177">
        <v>13.869509314876035</v>
      </c>
      <c r="Z31" s="177">
        <v>14.313887688888888</v>
      </c>
      <c r="AA31" s="177">
        <v>14.608693733547963</v>
      </c>
      <c r="AB31" s="178">
        <v>14.713305415976331</v>
      </c>
    </row>
    <row r="32" spans="1:28">
      <c r="H32" s="232"/>
      <c r="I32" s="232"/>
      <c r="J32" s="232"/>
      <c r="K32" s="232"/>
      <c r="L32" s="232"/>
      <c r="M32" s="232"/>
      <c r="N32" s="232"/>
      <c r="O32" s="232"/>
      <c r="P32" s="232"/>
    </row>
    <row r="33" spans="6:28" ht="15">
      <c r="F33" s="224" t="s">
        <v>278</v>
      </c>
      <c r="G33" s="173" t="s">
        <v>301</v>
      </c>
      <c r="H33" s="288">
        <v>5.742</v>
      </c>
      <c r="I33" s="282">
        <v>7.6559999999999997</v>
      </c>
      <c r="J33" s="282">
        <v>9.6809999999999992</v>
      </c>
      <c r="K33" s="282">
        <v>11.795999999999999</v>
      </c>
      <c r="L33" s="282">
        <v>13.386799999999999</v>
      </c>
      <c r="M33" s="282">
        <v>13.984</v>
      </c>
      <c r="N33" s="282">
        <v>16.231999999999999</v>
      </c>
      <c r="O33" s="282">
        <v>17.905899999999999</v>
      </c>
      <c r="P33" s="283">
        <v>18.530999999999999</v>
      </c>
      <c r="R33" s="224" t="s">
        <v>278</v>
      </c>
      <c r="S33" s="173" t="s">
        <v>301</v>
      </c>
      <c r="T33" s="288">
        <v>6.3170000000000002</v>
      </c>
      <c r="U33" s="282">
        <v>8.5920000000000005</v>
      </c>
      <c r="V33" s="282">
        <v>11.073</v>
      </c>
      <c r="W33" s="282">
        <v>13.743</v>
      </c>
      <c r="X33" s="282">
        <v>15.8271</v>
      </c>
      <c r="Y33" s="282">
        <v>16.597999999999999</v>
      </c>
      <c r="Z33" s="282">
        <v>19.617000000000001</v>
      </c>
      <c r="AA33" s="282">
        <v>21.953700000000001</v>
      </c>
      <c r="AB33" s="283">
        <v>22.818000000000001</v>
      </c>
    </row>
    <row r="34" spans="6:28">
      <c r="G34" s="174" t="s">
        <v>299</v>
      </c>
      <c r="H34" s="284">
        <v>17.321000000000002</v>
      </c>
      <c r="I34" s="285">
        <v>19.875</v>
      </c>
      <c r="J34" s="285">
        <v>22.259</v>
      </c>
      <c r="K34" s="285">
        <v>24.486999999999998</v>
      </c>
      <c r="L34" s="285">
        <v>26.021699999999999</v>
      </c>
      <c r="M34" s="285">
        <v>26.571000000000002</v>
      </c>
      <c r="N34" s="285">
        <v>28.527000000000001</v>
      </c>
      <c r="O34" s="285">
        <v>29.8811</v>
      </c>
      <c r="P34" s="286">
        <v>30.367000000000001</v>
      </c>
      <c r="S34" s="174" t="s">
        <v>299</v>
      </c>
      <c r="T34" s="284">
        <v>19.896999999999998</v>
      </c>
      <c r="U34" s="285">
        <v>22.928999999999998</v>
      </c>
      <c r="V34" s="285">
        <v>25.73</v>
      </c>
      <c r="W34" s="285">
        <v>28.327000000000002</v>
      </c>
      <c r="X34" s="285">
        <v>30.101600000000001</v>
      </c>
      <c r="Y34" s="285">
        <v>30.757999999999999</v>
      </c>
      <c r="Z34" s="285">
        <v>33.036000000000001</v>
      </c>
      <c r="AA34" s="285">
        <v>34.471899999999998</v>
      </c>
      <c r="AB34" s="286">
        <v>35.003</v>
      </c>
    </row>
    <row r="35" spans="6:28">
      <c r="G35" s="99" t="s">
        <v>300</v>
      </c>
      <c r="H35" s="275">
        <v>11.234740300000002</v>
      </c>
      <c r="I35" s="177">
        <v>12.060562700000002</v>
      </c>
      <c r="J35" s="177">
        <v>12.762802258024692</v>
      </c>
      <c r="K35" s="177">
        <v>13.35928</v>
      </c>
      <c r="L35" s="177">
        <v>13.739099135499703</v>
      </c>
      <c r="M35" s="177">
        <v>13.869509314876035</v>
      </c>
      <c r="N35" s="177">
        <v>14.313887688888888</v>
      </c>
      <c r="O35" s="177">
        <v>14.608693733547963</v>
      </c>
      <c r="P35" s="178">
        <v>14.713305415976331</v>
      </c>
      <c r="S35" s="99" t="s">
        <v>300</v>
      </c>
      <c r="T35" s="275">
        <v>11.234740300000002</v>
      </c>
      <c r="U35" s="177">
        <v>12.060562700000002</v>
      </c>
      <c r="V35" s="177">
        <v>12.762802258024692</v>
      </c>
      <c r="W35" s="177">
        <v>13.35928</v>
      </c>
      <c r="X35" s="177">
        <v>13.739099135499703</v>
      </c>
      <c r="Y35" s="177">
        <v>13.869509314876035</v>
      </c>
      <c r="Z35" s="177">
        <v>14.313887688888888</v>
      </c>
      <c r="AA35" s="177">
        <v>14.608693733547963</v>
      </c>
      <c r="AB35" s="178">
        <v>14.713305415976331</v>
      </c>
    </row>
    <row r="37" spans="6:28" ht="15">
      <c r="F37" s="245" t="s">
        <v>270</v>
      </c>
      <c r="G37" s="223" t="s">
        <v>271</v>
      </c>
      <c r="H37" s="180"/>
      <c r="I37" s="180"/>
      <c r="J37" s="180"/>
      <c r="K37" s="180"/>
      <c r="L37" s="180"/>
      <c r="M37" s="180"/>
      <c r="N37" s="180"/>
      <c r="O37" s="180"/>
      <c r="P37" s="181"/>
      <c r="R37" s="9" t="s">
        <v>270</v>
      </c>
    </row>
    <row r="38" spans="6:28" ht="15">
      <c r="F38" s="221" t="s">
        <v>270</v>
      </c>
      <c r="G38" s="242">
        <v>298</v>
      </c>
      <c r="H38" s="242">
        <v>700</v>
      </c>
      <c r="I38" s="242">
        <v>800</v>
      </c>
      <c r="J38" s="242">
        <v>900</v>
      </c>
      <c r="K38" s="242">
        <v>1000</v>
      </c>
      <c r="L38" s="242">
        <v>1073</v>
      </c>
      <c r="M38" s="242">
        <v>1100</v>
      </c>
      <c r="N38" s="242">
        <v>1200</v>
      </c>
      <c r="O38" s="242">
        <v>1273</v>
      </c>
      <c r="P38" s="243">
        <v>1300</v>
      </c>
      <c r="R38" s="179" t="s">
        <v>303</v>
      </c>
      <c r="S38" s="180" t="s">
        <v>304</v>
      </c>
      <c r="T38" s="180" t="s">
        <v>305</v>
      </c>
      <c r="U38" s="180" t="s">
        <v>306</v>
      </c>
      <c r="V38" s="181" t="s">
        <v>307</v>
      </c>
    </row>
    <row r="39" spans="6:28" ht="15">
      <c r="F39" s="220" t="s">
        <v>329</v>
      </c>
      <c r="G39" s="273">
        <f>2*B5+2*B4-B3-B2</f>
        <v>247.34100000000001</v>
      </c>
      <c r="H39" s="219">
        <f t="shared" ref="H39:P39" si="16">2*H25+2*H21-H17-H13+$G$39</f>
        <v>258.49951982397027</v>
      </c>
      <c r="I39" s="219">
        <f t="shared" si="16"/>
        <v>259.61692987933333</v>
      </c>
      <c r="J39" s="219">
        <f t="shared" si="16"/>
        <v>260.25558239831946</v>
      </c>
      <c r="K39" s="219">
        <f t="shared" si="16"/>
        <v>260.49677841666676</v>
      </c>
      <c r="L39" s="219">
        <f t="shared" si="16"/>
        <v>260.46247706255082</v>
      </c>
      <c r="M39" s="219">
        <f t="shared" si="16"/>
        <v>260.40994035268716</v>
      </c>
      <c r="N39" s="219">
        <f t="shared" si="16"/>
        <v>260.04999042160006</v>
      </c>
      <c r="O39" s="219">
        <f t="shared" si="16"/>
        <v>259.64482606995949</v>
      </c>
      <c r="P39" s="246">
        <f t="shared" si="16"/>
        <v>259.46522321043466</v>
      </c>
      <c r="R39" s="254">
        <v>298</v>
      </c>
      <c r="S39" s="255">
        <f>(B29-(C29*R39/1000))</f>
        <v>0</v>
      </c>
      <c r="T39" s="256">
        <f>$B$10*EXP(-$B$11/($B$9*R39))</f>
        <v>2.0669760042836991E-31</v>
      </c>
      <c r="U39" s="256">
        <f t="shared" ref="U39:U48" si="17">$B$10*EXP(-($B$11)/($B$9*R39))</f>
        <v>2.0669760042836991E-31</v>
      </c>
      <c r="V39" s="257">
        <f>((U39-T39)/T39)*100</f>
        <v>0</v>
      </c>
    </row>
    <row r="40" spans="6:28" ht="15">
      <c r="F40" s="221" t="s">
        <v>299</v>
      </c>
      <c r="G40" s="274">
        <f>2*C5+2*C4-C3-C2</f>
        <v>256.62</v>
      </c>
      <c r="H40" s="247">
        <f t="shared" ref="H40:P40" si="18">2*H26+2*H22-H18-H14</f>
        <v>282.13538520094897</v>
      </c>
      <c r="I40" s="247">
        <f t="shared" si="18"/>
        <v>283.63525173905049</v>
      </c>
      <c r="J40" s="247">
        <f t="shared" si="18"/>
        <v>284.3925191060365</v>
      </c>
      <c r="K40" s="247">
        <f t="shared" si="18"/>
        <v>284.6501055</v>
      </c>
      <c r="L40" s="247">
        <f t="shared" si="18"/>
        <v>284.6175759649883</v>
      </c>
      <c r="M40" s="247">
        <f t="shared" si="18"/>
        <v>284.56925805663656</v>
      </c>
      <c r="N40" s="247">
        <f t="shared" si="18"/>
        <v>284.25763273047772</v>
      </c>
      <c r="O40" s="247">
        <f t="shared" si="18"/>
        <v>283.93256085032283</v>
      </c>
      <c r="P40" s="175">
        <f t="shared" si="18"/>
        <v>283.79296996462563</v>
      </c>
      <c r="R40" s="174">
        <v>700</v>
      </c>
      <c r="S40" s="233">
        <v>61</v>
      </c>
      <c r="T40" s="234">
        <v>2.8E-5</v>
      </c>
      <c r="U40" s="235">
        <f t="shared" si="17"/>
        <v>2.8474970364738339E-5</v>
      </c>
      <c r="V40" s="182">
        <f t="shared" ref="V40:V48" si="19">((U40-T40)/T40)*100</f>
        <v>1.6963227312083546</v>
      </c>
    </row>
    <row r="41" spans="6:28" ht="15">
      <c r="F41" s="222" t="s">
        <v>300</v>
      </c>
      <c r="G41" s="275">
        <f>2*D5+2*D4-D3-D2</f>
        <v>43.187999999999995</v>
      </c>
      <c r="H41" s="177">
        <f t="shared" ref="H41:P41" si="20">2*H27+2*H23-H19-H15</f>
        <v>13.865787897244928</v>
      </c>
      <c r="I41" s="177">
        <f t="shared" si="20"/>
        <v>8.6354226975000046</v>
      </c>
      <c r="J41" s="177">
        <f t="shared" si="20"/>
        <v>4.2734584433950431</v>
      </c>
      <c r="K41" s="177">
        <f t="shared" si="20"/>
        <v>0.66573899999998787</v>
      </c>
      <c r="L41" s="177">
        <f t="shared" si="20"/>
        <v>-1.5670506236484982</v>
      </c>
      <c r="M41" s="177">
        <f t="shared" si="20"/>
        <v>-2.3182793896776843</v>
      </c>
      <c r="N41" s="177">
        <f t="shared" si="20"/>
        <v>-4.8117113780000267</v>
      </c>
      <c r="O41" s="177">
        <f t="shared" si="20"/>
        <v>-6.3771889925503729</v>
      </c>
      <c r="P41" s="178">
        <f t="shared" si="20"/>
        <v>-6.9230774893727727</v>
      </c>
      <c r="R41" s="174">
        <v>800</v>
      </c>
      <c r="S41" s="233">
        <v>32.700000000000003</v>
      </c>
      <c r="T41" s="234">
        <v>7.3200000000000001E-3</v>
      </c>
      <c r="U41" s="235">
        <f t="shared" si="17"/>
        <v>7.5259110739757627E-3</v>
      </c>
      <c r="V41" s="175">
        <f t="shared" si="19"/>
        <v>2.8129928138765381</v>
      </c>
    </row>
    <row r="42" spans="6:28">
      <c r="R42" s="174">
        <v>900</v>
      </c>
      <c r="S42" s="233">
        <v>4.3</v>
      </c>
      <c r="T42" s="234">
        <v>0.56299999999999994</v>
      </c>
      <c r="U42" s="235">
        <f t="shared" si="17"/>
        <v>0.57598526397515093</v>
      </c>
      <c r="V42" s="175">
        <f t="shared" si="19"/>
        <v>2.306441203401596</v>
      </c>
    </row>
    <row r="43" spans="6:28" ht="15">
      <c r="F43" s="220" t="s">
        <v>270</v>
      </c>
      <c r="G43" s="239">
        <v>298</v>
      </c>
      <c r="H43" s="239">
        <v>700</v>
      </c>
      <c r="I43" s="239">
        <v>800</v>
      </c>
      <c r="J43" s="239">
        <v>900</v>
      </c>
      <c r="K43" s="239">
        <v>1000</v>
      </c>
      <c r="L43" s="239">
        <v>1073</v>
      </c>
      <c r="M43" s="239">
        <v>1100</v>
      </c>
      <c r="N43" s="239">
        <v>1200</v>
      </c>
      <c r="O43" s="239">
        <v>1273</v>
      </c>
      <c r="P43" s="240">
        <v>1300</v>
      </c>
      <c r="R43" s="174">
        <v>1000</v>
      </c>
      <c r="S43" s="233">
        <v>-24.2</v>
      </c>
      <c r="T43" s="234">
        <v>18.3</v>
      </c>
      <c r="U43" s="235">
        <f t="shared" si="17"/>
        <v>18.513699260117427</v>
      </c>
      <c r="V43" s="175">
        <f t="shared" si="19"/>
        <v>1.167755519767357</v>
      </c>
    </row>
    <row r="44" spans="6:28" ht="15">
      <c r="F44" s="248" t="s">
        <v>327</v>
      </c>
      <c r="G44" s="270"/>
      <c r="H44" s="270"/>
      <c r="I44" s="270"/>
      <c r="J44" s="270"/>
      <c r="K44" s="270"/>
      <c r="L44" s="270"/>
      <c r="M44" s="270"/>
      <c r="N44" s="270"/>
      <c r="O44" s="270"/>
      <c r="P44" s="271"/>
      <c r="R44" s="174">
        <v>1073</v>
      </c>
      <c r="S44" s="233">
        <v>-44.9</v>
      </c>
      <c r="T44" s="234">
        <v>154</v>
      </c>
      <c r="U44" s="235">
        <f t="shared" si="17"/>
        <v>154.98239219470736</v>
      </c>
      <c r="V44" s="175">
        <f t="shared" si="19"/>
        <v>0.63791700955023278</v>
      </c>
    </row>
    <row r="45" spans="6:28">
      <c r="F45" s="76"/>
      <c r="G45" s="177">
        <f t="shared" ref="G45:P45" si="21">G39-(G43*G40/1000)</f>
        <v>170.86824000000001</v>
      </c>
      <c r="H45" s="177">
        <f t="shared" si="21"/>
        <v>61.004750183305987</v>
      </c>
      <c r="I45" s="177">
        <f t="shared" si="21"/>
        <v>32.708728488092959</v>
      </c>
      <c r="J45" s="177">
        <f t="shared" si="21"/>
        <v>4.3023152028866036</v>
      </c>
      <c r="K45" s="177">
        <f t="shared" si="21"/>
        <v>-24.153327083333238</v>
      </c>
      <c r="L45" s="177">
        <f t="shared" si="21"/>
        <v>-44.932181947881588</v>
      </c>
      <c r="M45" s="177">
        <f t="shared" si="21"/>
        <v>-52.616243509613071</v>
      </c>
      <c r="N45" s="177">
        <f t="shared" si="21"/>
        <v>-81.059168854973223</v>
      </c>
      <c r="O45" s="177">
        <f t="shared" si="21"/>
        <v>-101.8013238925015</v>
      </c>
      <c r="P45" s="178">
        <f t="shared" si="21"/>
        <v>-109.46563774357867</v>
      </c>
      <c r="R45" s="174">
        <v>1100</v>
      </c>
      <c r="S45" s="233">
        <v>-52.6</v>
      </c>
      <c r="T45" s="234">
        <v>315</v>
      </c>
      <c r="U45" s="235">
        <f t="shared" si="17"/>
        <v>316.63590355208925</v>
      </c>
      <c r="V45" s="175">
        <f t="shared" si="19"/>
        <v>0.51933446098071312</v>
      </c>
    </row>
    <row r="46" spans="6:28" ht="15">
      <c r="F46" s="269" t="s">
        <v>305</v>
      </c>
      <c r="G46" s="249"/>
      <c r="H46" s="249"/>
      <c r="I46" s="249"/>
      <c r="J46" s="249"/>
      <c r="K46" s="249"/>
      <c r="L46" s="249"/>
      <c r="M46" s="249"/>
      <c r="N46" s="249"/>
      <c r="O46" s="249"/>
      <c r="P46" s="250"/>
      <c r="R46" s="174">
        <v>1200</v>
      </c>
      <c r="S46" s="233">
        <v>-81.099999999999994</v>
      </c>
      <c r="T46" s="234">
        <v>3380</v>
      </c>
      <c r="U46" s="235">
        <f t="shared" si="17"/>
        <v>3373.7737348956157</v>
      </c>
      <c r="V46" s="175">
        <f t="shared" si="19"/>
        <v>-0.18420902675693226</v>
      </c>
    </row>
    <row r="47" spans="6:28">
      <c r="F47" s="75"/>
      <c r="G47" s="234">
        <f t="shared" ref="G47:P47" si="22">EXP((-G45*1000)/($B$9*G43))</f>
        <v>1.1180084987078414E-30</v>
      </c>
      <c r="H47" s="234">
        <f t="shared" si="22"/>
        <v>2.8028854663210585E-5</v>
      </c>
      <c r="I47" s="234">
        <f t="shared" si="22"/>
        <v>7.3158037040986969E-3</v>
      </c>
      <c r="J47" s="234">
        <f t="shared" si="22"/>
        <v>0.56271839003308555</v>
      </c>
      <c r="K47" s="234">
        <f t="shared" si="22"/>
        <v>18.267785855690544</v>
      </c>
      <c r="L47" s="234">
        <f t="shared" si="22"/>
        <v>153.96410904391112</v>
      </c>
      <c r="M47" s="234">
        <f t="shared" si="22"/>
        <v>315.22967397843234</v>
      </c>
      <c r="N47" s="234">
        <f t="shared" si="22"/>
        <v>3377.0787627856512</v>
      </c>
      <c r="O47" s="234">
        <f t="shared" si="22"/>
        <v>15043.021727306759</v>
      </c>
      <c r="P47" s="251">
        <f t="shared" si="22"/>
        <v>25034.681624941903</v>
      </c>
      <c r="R47" s="174">
        <v>1273</v>
      </c>
      <c r="S47" s="233">
        <v>-101.8</v>
      </c>
      <c r="T47" s="234">
        <v>15000</v>
      </c>
      <c r="U47" s="235">
        <f t="shared" si="17"/>
        <v>15006.913101240065</v>
      </c>
      <c r="V47" s="175">
        <f t="shared" si="19"/>
        <v>4.6087341600432409E-2</v>
      </c>
    </row>
    <row r="48" spans="6:28" ht="15">
      <c r="F48" s="248" t="s">
        <v>306</v>
      </c>
      <c r="G48" s="270"/>
      <c r="H48" s="270"/>
      <c r="I48" s="270"/>
      <c r="J48" s="270"/>
      <c r="K48" s="270"/>
      <c r="L48" s="270"/>
      <c r="M48" s="270"/>
      <c r="N48" s="270"/>
      <c r="O48" s="270"/>
      <c r="P48" s="271"/>
      <c r="R48" s="99">
        <v>1300</v>
      </c>
      <c r="S48" s="236">
        <v>-109.5</v>
      </c>
      <c r="T48" s="184">
        <v>25000</v>
      </c>
      <c r="U48" s="237">
        <f t="shared" si="17"/>
        <v>24979.643768008922</v>
      </c>
      <c r="V48" s="178">
        <f t="shared" si="19"/>
        <v>-8.1424927964311791E-2</v>
      </c>
    </row>
    <row r="49" spans="6:24">
      <c r="F49" s="76"/>
      <c r="G49" s="184">
        <f t="shared" ref="G49:P49" si="23">$B$10*EXP(-$B$11/($B$9*G43))</f>
        <v>2.0669760042836991E-31</v>
      </c>
      <c r="H49" s="299">
        <f t="shared" si="23"/>
        <v>2.8474970364738339E-5</v>
      </c>
      <c r="I49" s="299">
        <f t="shared" si="23"/>
        <v>7.5259110739757627E-3</v>
      </c>
      <c r="J49" s="299">
        <f t="shared" si="23"/>
        <v>0.57598526397515093</v>
      </c>
      <c r="K49" s="299">
        <f t="shared" si="23"/>
        <v>18.513699260117427</v>
      </c>
      <c r="L49" s="299">
        <f t="shared" si="23"/>
        <v>154.98239219470736</v>
      </c>
      <c r="M49" s="299">
        <f t="shared" si="23"/>
        <v>316.63590355208925</v>
      </c>
      <c r="N49" s="299">
        <f t="shared" si="23"/>
        <v>3373.7737348956157</v>
      </c>
      <c r="O49" s="299">
        <f t="shared" si="23"/>
        <v>15006.913101240065</v>
      </c>
      <c r="P49" s="300">
        <f t="shared" si="23"/>
        <v>24979.643768008922</v>
      </c>
    </row>
    <row r="50" spans="6:24" ht="15">
      <c r="F50" s="272" t="s">
        <v>307</v>
      </c>
      <c r="G50" s="249"/>
      <c r="H50" s="249"/>
      <c r="I50" s="249"/>
      <c r="J50" s="249"/>
      <c r="K50" s="249"/>
      <c r="L50" s="249"/>
      <c r="M50" s="249"/>
      <c r="N50" s="249"/>
      <c r="O50" s="249"/>
      <c r="P50" s="250"/>
    </row>
    <row r="51" spans="6:24">
      <c r="F51" s="76"/>
      <c r="G51" s="177">
        <f>((G47-G49)/G47)*100</f>
        <v>81.51198307819088</v>
      </c>
      <c r="H51" s="177">
        <f>((H49-H47)/H47)*100</f>
        <v>1.5916301500300167</v>
      </c>
      <c r="I51" s="177">
        <f t="shared" ref="I51:P51" si="24">((I49-I47)/I47)*100</f>
        <v>2.8719656564780793</v>
      </c>
      <c r="J51" s="177">
        <f t="shared" si="24"/>
        <v>2.3576400162229181</v>
      </c>
      <c r="K51" s="177">
        <f t="shared" si="24"/>
        <v>1.3461587866724372</v>
      </c>
      <c r="L51" s="177">
        <f t="shared" si="24"/>
        <v>0.66137696448840433</v>
      </c>
      <c r="M51" s="177">
        <f t="shared" si="24"/>
        <v>0.44609682708776771</v>
      </c>
      <c r="N51" s="177">
        <f t="shared" si="24"/>
        <v>-9.7866473428332809E-2</v>
      </c>
      <c r="O51" s="177">
        <f t="shared" si="24"/>
        <v>-0.24003572368142212</v>
      </c>
      <c r="P51" s="178">
        <f t="shared" si="24"/>
        <v>-0.2198464424574372</v>
      </c>
    </row>
    <row r="53" spans="6:24" ht="15">
      <c r="F53" s="245" t="s">
        <v>273</v>
      </c>
      <c r="G53" s="253" t="s">
        <v>302</v>
      </c>
      <c r="H53" s="223"/>
      <c r="I53" s="223"/>
      <c r="J53" s="223"/>
      <c r="K53" s="223"/>
      <c r="L53" s="223"/>
      <c r="M53" s="223"/>
      <c r="N53" s="223"/>
      <c r="O53" s="223"/>
      <c r="P53" s="225"/>
      <c r="R53" s="9" t="s">
        <v>273</v>
      </c>
    </row>
    <row r="54" spans="6:24" ht="15">
      <c r="F54" s="221" t="s">
        <v>273</v>
      </c>
      <c r="G54" s="242">
        <v>298</v>
      </c>
      <c r="H54" s="242">
        <v>700</v>
      </c>
      <c r="I54" s="242">
        <v>800</v>
      </c>
      <c r="J54" s="242">
        <v>900</v>
      </c>
      <c r="K54" s="242">
        <v>1000</v>
      </c>
      <c r="L54" s="242">
        <v>1073</v>
      </c>
      <c r="M54" s="242">
        <v>1100</v>
      </c>
      <c r="N54" s="242">
        <v>1200</v>
      </c>
      <c r="O54" s="242">
        <v>1273</v>
      </c>
      <c r="P54" s="243">
        <v>1300</v>
      </c>
      <c r="R54" s="179" t="s">
        <v>303</v>
      </c>
      <c r="S54" s="180" t="s">
        <v>304</v>
      </c>
      <c r="T54" s="180" t="s">
        <v>305</v>
      </c>
      <c r="U54" s="180" t="s">
        <v>308</v>
      </c>
      <c r="V54" s="181" t="s">
        <v>307</v>
      </c>
    </row>
    <row r="55" spans="6:24" ht="15">
      <c r="F55" s="220" t="s">
        <v>301</v>
      </c>
      <c r="G55" s="74">
        <f>B5+B6-B3-B4</f>
        <v>41.168999999999983</v>
      </c>
      <c r="H55" s="50">
        <f t="shared" ref="H55:P55" si="25">H25+H29-H17-H21+$G$55</f>
        <v>37.882323193840456</v>
      </c>
      <c r="I55" s="50">
        <f t="shared" si="25"/>
        <v>36.84069016106664</v>
      </c>
      <c r="J55" s="50">
        <f t="shared" si="25"/>
        <v>35.799801691649996</v>
      </c>
      <c r="K55" s="50">
        <f t="shared" si="25"/>
        <v>34.778978333333377</v>
      </c>
      <c r="L55" s="50">
        <f t="shared" si="25"/>
        <v>34.052801149723827</v>
      </c>
      <c r="M55" s="50">
        <f t="shared" si="25"/>
        <v>33.788932843304607</v>
      </c>
      <c r="N55" s="50">
        <f t="shared" si="25"/>
        <v>32.833459508266699</v>
      </c>
      <c r="O55" s="50">
        <f t="shared" si="25"/>
        <v>32.161241349848964</v>
      </c>
      <c r="P55" s="51">
        <f t="shared" si="25"/>
        <v>31.915203366707058</v>
      </c>
      <c r="R55" s="254">
        <v>298</v>
      </c>
      <c r="S55" s="255">
        <f>G39-(G40*R55/1000)</f>
        <v>170.86824000000001</v>
      </c>
      <c r="T55" s="256"/>
      <c r="U55" s="258">
        <f t="shared" ref="U55:U64" si="26">$B$12*EXP(-($B$13)/($B$9*R55))</f>
        <v>2.187282480399621E-5</v>
      </c>
      <c r="V55" s="257" t="e">
        <f>((U55-T55)/T55)*100</f>
        <v>#DIV/0!</v>
      </c>
    </row>
    <row r="56" spans="6:24" ht="15">
      <c r="F56" s="221" t="s">
        <v>299</v>
      </c>
      <c r="G56" s="75">
        <f>C5+C6-C3-C4</f>
        <v>42.011999999999972</v>
      </c>
      <c r="H56" s="232">
        <f t="shared" ref="H56:P56" si="27">H26+H30-H18-H22</f>
        <v>35.448590616803983</v>
      </c>
      <c r="I56" s="232">
        <f t="shared" si="27"/>
        <v>34.057862494792545</v>
      </c>
      <c r="J56" s="232">
        <f t="shared" si="27"/>
        <v>32.831733830289465</v>
      </c>
      <c r="K56" s="232">
        <f t="shared" si="27"/>
        <v>31.755878166666747</v>
      </c>
      <c r="L56" s="232">
        <f t="shared" si="27"/>
        <v>31.055054634015903</v>
      </c>
      <c r="M56" s="232">
        <f t="shared" si="27"/>
        <v>30.812176447054327</v>
      </c>
      <c r="N56" s="232">
        <f t="shared" si="27"/>
        <v>29.980592968578918</v>
      </c>
      <c r="O56" s="232">
        <f t="shared" si="27"/>
        <v>29.438958109881042</v>
      </c>
      <c r="P56" s="67">
        <f t="shared" si="27"/>
        <v>29.24770239444868</v>
      </c>
      <c r="R56" s="174">
        <v>700</v>
      </c>
      <c r="S56" s="226">
        <v>13.1</v>
      </c>
      <c r="T56" s="227">
        <v>0.106</v>
      </c>
      <c r="U56" s="228">
        <f t="shared" si="26"/>
        <v>0.10526755228441469</v>
      </c>
      <c r="V56" s="182">
        <f t="shared" ref="V56:V64" si="28">((U56-T56)/T56)*100</f>
        <v>-0.69098841092953811</v>
      </c>
    </row>
    <row r="57" spans="6:24" ht="15">
      <c r="F57" s="222" t="s">
        <v>300</v>
      </c>
      <c r="G57" s="76">
        <f>D5+D6-D3-D4</f>
        <v>-3.232999999999997</v>
      </c>
      <c r="H57" s="49">
        <f t="shared" ref="H57:P57" si="29">H27+H31-H19-H23</f>
        <v>-10.331433867510203</v>
      </c>
      <c r="I57" s="49">
        <f t="shared" si="29"/>
        <v>-10.452520678000006</v>
      </c>
      <c r="J57" s="49">
        <f t="shared" si="29"/>
        <v>-10.33332797600001</v>
      </c>
      <c r="K57" s="49">
        <f t="shared" si="29"/>
        <v>-10.065130000000011</v>
      </c>
      <c r="L57" s="49">
        <f t="shared" si="29"/>
        <v>-9.8199357672417449</v>
      </c>
      <c r="M57" s="49">
        <f t="shared" si="29"/>
        <v>-9.7258300391404902</v>
      </c>
      <c r="N57" s="49">
        <f t="shared" si="29"/>
        <v>-9.3893413768889147</v>
      </c>
      <c r="O57" s="49">
        <f t="shared" si="29"/>
        <v>-9.1494116253819016</v>
      </c>
      <c r="P57" s="52">
        <f t="shared" si="29"/>
        <v>-9.0760974053195405</v>
      </c>
      <c r="R57" s="174">
        <v>800</v>
      </c>
      <c r="S57" s="226">
        <v>9.6</v>
      </c>
      <c r="T57" s="227">
        <v>0.23599999999999999</v>
      </c>
      <c r="U57" s="228">
        <f t="shared" si="26"/>
        <v>0.23094628395242561</v>
      </c>
      <c r="V57" s="182">
        <f t="shared" si="28"/>
        <v>-2.1414051049043965</v>
      </c>
      <c r="X57" t="s">
        <v>343</v>
      </c>
    </row>
    <row r="58" spans="6:24">
      <c r="R58" s="174">
        <v>900</v>
      </c>
      <c r="S58" s="226">
        <v>6.2</v>
      </c>
      <c r="T58" s="227">
        <v>0.434</v>
      </c>
      <c r="U58" s="228">
        <f t="shared" si="26"/>
        <v>0.42550194917693418</v>
      </c>
      <c r="V58" s="182">
        <f t="shared" si="28"/>
        <v>-1.9580762265128611</v>
      </c>
      <c r="X58" t="s">
        <v>342</v>
      </c>
    </row>
    <row r="59" spans="6:24" ht="15">
      <c r="F59" s="220" t="s">
        <v>273</v>
      </c>
      <c r="G59" s="239">
        <v>298</v>
      </c>
      <c r="H59" s="239">
        <v>700</v>
      </c>
      <c r="I59" s="239">
        <v>800</v>
      </c>
      <c r="J59" s="239">
        <v>900</v>
      </c>
      <c r="K59" s="239">
        <v>1000</v>
      </c>
      <c r="L59" s="239">
        <v>1073</v>
      </c>
      <c r="M59" s="239">
        <v>1100</v>
      </c>
      <c r="N59" s="239">
        <v>1200</v>
      </c>
      <c r="O59" s="239">
        <v>1273</v>
      </c>
      <c r="P59" s="240">
        <v>1300</v>
      </c>
      <c r="R59" s="174">
        <v>1000</v>
      </c>
      <c r="S59" s="226">
        <v>3</v>
      </c>
      <c r="T59" s="227">
        <v>0.69499999999999995</v>
      </c>
      <c r="U59" s="228">
        <f t="shared" si="26"/>
        <v>0.69376760052116782</v>
      </c>
      <c r="V59" s="182">
        <f t="shared" si="28"/>
        <v>-0.17732366601901237</v>
      </c>
    </row>
    <row r="60" spans="6:24" ht="15">
      <c r="F60" s="248" t="s">
        <v>328</v>
      </c>
      <c r="G60" s="270"/>
      <c r="H60" s="270"/>
      <c r="I60" s="270"/>
      <c r="J60" s="270"/>
      <c r="K60" s="270"/>
      <c r="L60" s="270"/>
      <c r="M60" s="270"/>
      <c r="N60" s="270"/>
      <c r="O60" s="270"/>
      <c r="P60" s="271"/>
      <c r="R60" s="174">
        <v>1073</v>
      </c>
      <c r="S60" s="226">
        <v>0.7</v>
      </c>
      <c r="T60" s="227">
        <v>0.92100000000000004</v>
      </c>
      <c r="U60" s="228">
        <f t="shared" si="26"/>
        <v>0.93586530904306953</v>
      </c>
      <c r="V60" s="182">
        <f t="shared" si="28"/>
        <v>1.6140400698229627</v>
      </c>
      <c r="X60" t="s">
        <v>344</v>
      </c>
    </row>
    <row r="61" spans="6:24">
      <c r="F61" s="76"/>
      <c r="G61" s="177">
        <f>G55-(G59*G56/1000)</f>
        <v>28.649423999999989</v>
      </c>
      <c r="H61" s="177">
        <f t="shared" ref="H61:P61" si="30">H55-(H59*H56/1000)</f>
        <v>13.068309762077668</v>
      </c>
      <c r="I61" s="177">
        <f t="shared" si="30"/>
        <v>9.594400165232603</v>
      </c>
      <c r="J61" s="177">
        <f t="shared" si="30"/>
        <v>6.251241244389476</v>
      </c>
      <c r="K61" s="177">
        <f t="shared" si="30"/>
        <v>3.0231001666666302</v>
      </c>
      <c r="L61" s="177">
        <f t="shared" si="30"/>
        <v>0.73072752742476155</v>
      </c>
      <c r="M61" s="177">
        <f t="shared" si="30"/>
        <v>-0.10446124845515214</v>
      </c>
      <c r="N61" s="177">
        <f t="shared" si="30"/>
        <v>-3.1432520540280038</v>
      </c>
      <c r="O61" s="177">
        <f t="shared" si="30"/>
        <v>-5.3145523240295987</v>
      </c>
      <c r="P61" s="178">
        <f t="shared" si="30"/>
        <v>-6.1068097460762267</v>
      </c>
      <c r="R61" s="174">
        <v>1100</v>
      </c>
      <c r="S61" s="226">
        <v>0.1</v>
      </c>
      <c r="T61" s="227">
        <v>1.01</v>
      </c>
      <c r="U61" s="228">
        <f t="shared" si="26"/>
        <v>1.0349615339315164</v>
      </c>
      <c r="V61" s="182">
        <f t="shared" si="28"/>
        <v>2.4714390031204303</v>
      </c>
      <c r="X61" t="s">
        <v>344</v>
      </c>
    </row>
    <row r="62" spans="6:24" ht="15">
      <c r="F62" s="248" t="s">
        <v>305</v>
      </c>
      <c r="G62" s="270"/>
      <c r="H62" s="270"/>
      <c r="I62" s="270"/>
      <c r="J62" s="270"/>
      <c r="K62" s="270"/>
      <c r="L62" s="270"/>
      <c r="M62" s="270"/>
      <c r="N62" s="270"/>
      <c r="O62" s="270"/>
      <c r="P62" s="271"/>
      <c r="R62" s="174">
        <v>1200</v>
      </c>
      <c r="S62" s="226">
        <v>-3.1</v>
      </c>
      <c r="T62" s="227">
        <v>1.37</v>
      </c>
      <c r="U62" s="228">
        <f t="shared" si="26"/>
        <v>1.4443841180091999</v>
      </c>
      <c r="V62" s="182">
        <f t="shared" si="28"/>
        <v>5.4294976649050914</v>
      </c>
      <c r="X62" t="s">
        <v>344</v>
      </c>
    </row>
    <row r="63" spans="6:24">
      <c r="F63" s="76"/>
      <c r="G63" s="184">
        <f t="shared" ref="G63:P63" si="31">EXP((-G61*1000)/($B$9*G59))</f>
        <v>9.5067532425865413E-6</v>
      </c>
      <c r="H63" s="177">
        <f t="shared" si="31"/>
        <v>0.10587552015419112</v>
      </c>
      <c r="I63" s="177">
        <f t="shared" si="31"/>
        <v>0.23633460975609472</v>
      </c>
      <c r="J63" s="177">
        <f t="shared" si="31"/>
        <v>0.43368489952610301</v>
      </c>
      <c r="K63" s="177">
        <f t="shared" si="31"/>
        <v>0.69515835655650093</v>
      </c>
      <c r="L63" s="177">
        <f t="shared" si="31"/>
        <v>0.92135334769627297</v>
      </c>
      <c r="M63" s="177">
        <f t="shared" si="31"/>
        <v>1.0114877554667212</v>
      </c>
      <c r="N63" s="177">
        <f t="shared" si="31"/>
        <v>1.3703362334959568</v>
      </c>
      <c r="O63" s="177">
        <f t="shared" si="31"/>
        <v>1.6522598937159794</v>
      </c>
      <c r="P63" s="178">
        <f t="shared" si="31"/>
        <v>1.7594765551385561</v>
      </c>
      <c r="R63" s="174">
        <v>1273</v>
      </c>
      <c r="S63" s="226">
        <v>-5.3</v>
      </c>
      <c r="T63" s="227">
        <v>1.65</v>
      </c>
      <c r="U63" s="228">
        <f t="shared" si="26"/>
        <v>1.7823599226028397</v>
      </c>
      <c r="V63" s="182">
        <f t="shared" si="28"/>
        <v>8.0218134910812005</v>
      </c>
      <c r="X63" t="s">
        <v>345</v>
      </c>
    </row>
    <row r="64" spans="6:24" ht="15">
      <c r="F64" s="269" t="s">
        <v>308</v>
      </c>
      <c r="G64" s="249"/>
      <c r="H64" s="249"/>
      <c r="I64" s="249"/>
      <c r="J64" s="249"/>
      <c r="K64" s="249"/>
      <c r="L64" s="249"/>
      <c r="M64" s="249"/>
      <c r="N64" s="249"/>
      <c r="O64" s="249"/>
      <c r="P64" s="250"/>
      <c r="R64" s="99">
        <v>1300</v>
      </c>
      <c r="S64" s="229">
        <v>-6.1</v>
      </c>
      <c r="T64" s="230">
        <v>1.76</v>
      </c>
      <c r="U64" s="231">
        <f t="shared" si="26"/>
        <v>1.9150083071043866</v>
      </c>
      <c r="V64" s="183">
        <f t="shared" si="28"/>
        <v>8.8072901763856031</v>
      </c>
      <c r="X64" t="s">
        <v>346</v>
      </c>
    </row>
    <row r="65" spans="6:29">
      <c r="F65" s="75"/>
      <c r="G65" s="234">
        <f t="shared" ref="G65:P65" si="32">$B$12*EXP(-$B$13/($B$9*G59))</f>
        <v>2.187282480399621E-5</v>
      </c>
      <c r="H65" s="301">
        <f t="shared" si="32"/>
        <v>0.10526755228441469</v>
      </c>
      <c r="I65" s="301">
        <f t="shared" si="32"/>
        <v>0.23094628395242561</v>
      </c>
      <c r="J65" s="301">
        <f t="shared" si="32"/>
        <v>0.42550194917693418</v>
      </c>
      <c r="K65" s="301">
        <f t="shared" si="32"/>
        <v>0.69376760052116782</v>
      </c>
      <c r="L65" s="301">
        <f t="shared" si="32"/>
        <v>0.93586530904306953</v>
      </c>
      <c r="M65" s="301">
        <f t="shared" si="32"/>
        <v>1.0349615339315164</v>
      </c>
      <c r="N65" s="301">
        <f t="shared" si="32"/>
        <v>1.4443841180091999</v>
      </c>
      <c r="O65" s="301">
        <f t="shared" si="32"/>
        <v>1.7823599226028397</v>
      </c>
      <c r="P65" s="302">
        <f t="shared" si="32"/>
        <v>1.9150083071043866</v>
      </c>
      <c r="X65" t="s">
        <v>344</v>
      </c>
    </row>
    <row r="66" spans="6:29" ht="15">
      <c r="F66" s="252" t="s">
        <v>307</v>
      </c>
      <c r="G66" s="270"/>
      <c r="H66" s="270"/>
      <c r="I66" s="270"/>
      <c r="J66" s="270"/>
      <c r="K66" s="270"/>
      <c r="L66" s="270"/>
      <c r="M66" s="270"/>
      <c r="N66" s="270"/>
      <c r="O66" s="270"/>
      <c r="P66" s="271"/>
      <c r="X66" t="s">
        <v>345</v>
      </c>
    </row>
    <row r="67" spans="6:29">
      <c r="F67" s="76"/>
      <c r="G67" s="177">
        <f>((G63-G65)/G63)*100</f>
        <v>-130.0767070088082</v>
      </c>
      <c r="H67" s="177">
        <f>((H65-H63)/H63)*100</f>
        <v>-0.57422893308200273</v>
      </c>
      <c r="I67" s="177">
        <f t="shared" ref="I67:P67" si="33">((I65-I63)/I63)*100</f>
        <v>-2.2799562913066507</v>
      </c>
      <c r="J67" s="177">
        <f t="shared" si="33"/>
        <v>-1.8868423498513591</v>
      </c>
      <c r="K67" s="177">
        <f t="shared" si="33"/>
        <v>-0.2000631974306247</v>
      </c>
      <c r="L67" s="177">
        <f t="shared" si="33"/>
        <v>1.5750701273384276</v>
      </c>
      <c r="M67" s="177">
        <f t="shared" si="33"/>
        <v>2.3207180055248284</v>
      </c>
      <c r="N67" s="177">
        <f t="shared" si="33"/>
        <v>5.4036288834262622</v>
      </c>
      <c r="O67" s="177">
        <f t="shared" si="33"/>
        <v>7.8740656588995623</v>
      </c>
      <c r="P67" s="178">
        <f t="shared" si="33"/>
        <v>8.8396603814696864</v>
      </c>
      <c r="X67" t="s">
        <v>345</v>
      </c>
    </row>
    <row r="69" spans="6:29" ht="15">
      <c r="F69" s="277" t="s">
        <v>318</v>
      </c>
      <c r="G69" s="278" t="s">
        <v>330</v>
      </c>
      <c r="H69" s="279"/>
      <c r="I69" s="279"/>
      <c r="J69" s="279"/>
      <c r="K69" s="279"/>
      <c r="L69" s="279"/>
      <c r="M69" s="279"/>
      <c r="N69" s="279"/>
      <c r="O69" s="279"/>
      <c r="P69" s="280"/>
      <c r="S69" s="277" t="s">
        <v>318</v>
      </c>
      <c r="T69" s="278" t="s">
        <v>330</v>
      </c>
      <c r="U69" s="279"/>
      <c r="V69" s="279"/>
      <c r="W69" s="279"/>
      <c r="X69" s="279"/>
      <c r="Y69" s="279"/>
      <c r="Z69" s="279"/>
      <c r="AA69" s="279"/>
      <c r="AB69" s="279"/>
      <c r="AC69" s="280"/>
    </row>
    <row r="70" spans="6:29" ht="15">
      <c r="F70" s="221" t="s">
        <v>318</v>
      </c>
      <c r="G70" s="12">
        <v>298</v>
      </c>
      <c r="H70" s="12">
        <v>700</v>
      </c>
      <c r="I70" s="12">
        <v>800</v>
      </c>
      <c r="J70" s="12">
        <v>900</v>
      </c>
      <c r="K70" s="12">
        <v>1000</v>
      </c>
      <c r="L70" s="12">
        <v>1073</v>
      </c>
      <c r="M70" s="12">
        <v>1100</v>
      </c>
      <c r="N70" s="12">
        <v>1200</v>
      </c>
      <c r="O70" s="12">
        <v>1273</v>
      </c>
      <c r="P70" s="243">
        <v>1300</v>
      </c>
      <c r="S70" s="221" t="s">
        <v>318</v>
      </c>
      <c r="T70" s="12">
        <v>298</v>
      </c>
      <c r="U70" s="12">
        <v>700</v>
      </c>
      <c r="V70" s="12">
        <v>800</v>
      </c>
      <c r="W70" s="12">
        <v>900</v>
      </c>
      <c r="X70" s="12">
        <v>1000</v>
      </c>
      <c r="Y70" s="12">
        <v>1073</v>
      </c>
      <c r="Z70" s="12">
        <v>1100</v>
      </c>
      <c r="AA70" s="12">
        <v>1200</v>
      </c>
      <c r="AB70" s="12">
        <v>1273</v>
      </c>
      <c r="AC70" s="243">
        <v>1300</v>
      </c>
    </row>
    <row r="71" spans="6:29" ht="15">
      <c r="F71" s="220" t="s">
        <v>301</v>
      </c>
      <c r="G71" s="273">
        <f>B7+2*B4-B2</f>
        <v>74.873000000000005</v>
      </c>
      <c r="H71" s="219">
        <f>H33+(2*H21)-H13+$G$71</f>
        <v>85.477363487171431</v>
      </c>
      <c r="I71" s="219">
        <f t="shared" ref="I71:P71" si="34">I33+(2*I21)-I13+$G$71</f>
        <v>87.256834091600012</v>
      </c>
      <c r="J71" s="219">
        <f t="shared" si="34"/>
        <v>88.701355420822239</v>
      </c>
      <c r="K71" s="219">
        <f t="shared" si="34"/>
        <v>89.850665000000006</v>
      </c>
      <c r="L71" s="219">
        <f t="shared" si="34"/>
        <v>90.527273404072929</v>
      </c>
      <c r="M71" s="219">
        <f t="shared" si="34"/>
        <v>90.746322217715161</v>
      </c>
      <c r="N71" s="219">
        <f t="shared" si="34"/>
        <v>91.428367620533336</v>
      </c>
      <c r="O71" s="219">
        <f t="shared" si="34"/>
        <v>91.814600925000889</v>
      </c>
      <c r="P71" s="246">
        <f t="shared" si="34"/>
        <v>91.936473811328227</v>
      </c>
      <c r="S71" s="220" t="s">
        <v>301</v>
      </c>
      <c r="U71">
        <v>6.3170000000000002</v>
      </c>
      <c r="V71" s="219">
        <v>8.5920000000000005</v>
      </c>
      <c r="W71" s="219">
        <v>11.073</v>
      </c>
      <c r="X71" s="219">
        <v>13.743</v>
      </c>
      <c r="Y71" s="219">
        <v>15.8271</v>
      </c>
      <c r="Z71" s="219">
        <v>16.597999999999999</v>
      </c>
      <c r="AA71" s="219">
        <v>19.617000000000001</v>
      </c>
      <c r="AB71" s="219">
        <v>21.953700000000001</v>
      </c>
      <c r="AC71" s="246">
        <v>22.818000000000001</v>
      </c>
    </row>
    <row r="72" spans="6:29" ht="15">
      <c r="F72" s="221" t="s">
        <v>299</v>
      </c>
      <c r="G72" s="274">
        <f>C7+2*C4-C2</f>
        <v>80.849000000000018</v>
      </c>
      <c r="H72" s="247">
        <f>H34+2*H22-H14</f>
        <v>104.07073656307631</v>
      </c>
      <c r="I72" s="247">
        <f t="shared" ref="I72:P73" si="35">I34+2*I22-I14</f>
        <v>106.45217924823089</v>
      </c>
      <c r="J72" s="247">
        <f t="shared" si="35"/>
        <v>108.15727723544524</v>
      </c>
      <c r="K72" s="247">
        <f t="shared" si="35"/>
        <v>109.37123416666668</v>
      </c>
      <c r="L72" s="247">
        <f t="shared" si="35"/>
        <v>110.02415107642017</v>
      </c>
      <c r="M72" s="247">
        <f t="shared" si="35"/>
        <v>110.22542675762793</v>
      </c>
      <c r="N72" s="247">
        <f t="shared" si="35"/>
        <v>110.82043205321764</v>
      </c>
      <c r="O72" s="247">
        <f t="shared" si="35"/>
        <v>111.1332917540891</v>
      </c>
      <c r="P72" s="175">
        <f t="shared" si="35"/>
        <v>111.22803620195498</v>
      </c>
      <c r="S72" s="221" t="s">
        <v>299</v>
      </c>
      <c r="U72" s="274">
        <v>19.896999999999998</v>
      </c>
      <c r="V72" s="247">
        <v>22.928999999999998</v>
      </c>
      <c r="W72" s="247">
        <v>25.73</v>
      </c>
      <c r="X72" s="247">
        <v>28.327000000000002</v>
      </c>
      <c r="Y72" s="247">
        <v>30.101600000000001</v>
      </c>
      <c r="Z72" s="247">
        <v>30.757999999999999</v>
      </c>
      <c r="AA72" s="247">
        <v>33.036000000000001</v>
      </c>
      <c r="AB72" s="247">
        <v>34.471899999999998</v>
      </c>
      <c r="AC72" s="175">
        <v>35.003</v>
      </c>
    </row>
    <row r="73" spans="6:29" ht="15">
      <c r="F73" s="222" t="s">
        <v>300</v>
      </c>
      <c r="G73" s="275">
        <f>D7+2*D4-D2</f>
        <v>30.55299999999999</v>
      </c>
      <c r="H73" s="177">
        <f>H35+2*H23-H15</f>
        <v>12.321830591183698</v>
      </c>
      <c r="I73" s="177">
        <f t="shared" si="35"/>
        <v>8.3835277855000072</v>
      </c>
      <c r="J73" s="177">
        <f t="shared" si="35"/>
        <v>4.9320417315555574</v>
      </c>
      <c r="K73" s="177">
        <f t="shared" si="35"/>
        <v>1.9735160000000036</v>
      </c>
      <c r="L73" s="177">
        <f t="shared" si="35"/>
        <v>0.11428517443482633</v>
      </c>
      <c r="M73" s="177">
        <f t="shared" si="35"/>
        <v>-0.51043653910743103</v>
      </c>
      <c r="N73" s="177">
        <f t="shared" si="35"/>
        <v>-2.5450278882222221</v>
      </c>
      <c r="O73" s="177">
        <f t="shared" si="35"/>
        <v>-3.7731699751695231</v>
      </c>
      <c r="P73" s="178">
        <f t="shared" si="35"/>
        <v>-4.176093411455625</v>
      </c>
      <c r="S73" s="222" t="s">
        <v>300</v>
      </c>
      <c r="T73" s="275"/>
      <c r="U73" s="177"/>
      <c r="V73" s="177"/>
      <c r="W73" s="177"/>
      <c r="X73" s="177"/>
      <c r="Y73" s="177"/>
      <c r="Z73" s="177"/>
      <c r="AA73" s="177"/>
      <c r="AB73" s="177"/>
      <c r="AC73" s="178"/>
    </row>
    <row r="75" spans="6:29" ht="15">
      <c r="F75" s="220" t="s">
        <v>318</v>
      </c>
      <c r="G75" s="239">
        <v>298</v>
      </c>
      <c r="H75" s="239">
        <v>700</v>
      </c>
      <c r="I75" s="239">
        <v>800</v>
      </c>
      <c r="J75" s="239">
        <v>900</v>
      </c>
      <c r="K75" s="239">
        <v>1000</v>
      </c>
      <c r="L75" s="239">
        <v>1073</v>
      </c>
      <c r="M75" s="239">
        <v>1100</v>
      </c>
      <c r="N75" s="239">
        <v>1200</v>
      </c>
      <c r="O75" s="239">
        <v>1273</v>
      </c>
      <c r="P75" s="240">
        <v>1300</v>
      </c>
      <c r="S75" s="220" t="s">
        <v>318</v>
      </c>
      <c r="T75" s="239">
        <v>298</v>
      </c>
      <c r="U75" s="239">
        <v>700</v>
      </c>
      <c r="V75" s="239">
        <v>800</v>
      </c>
      <c r="W75" s="239">
        <v>900</v>
      </c>
      <c r="X75" s="239">
        <v>1000</v>
      </c>
      <c r="Y75" s="239">
        <v>1073</v>
      </c>
      <c r="Z75" s="239">
        <v>1100</v>
      </c>
      <c r="AA75" s="239">
        <v>1200</v>
      </c>
      <c r="AB75" s="239">
        <v>1273</v>
      </c>
      <c r="AC75" s="240">
        <v>1300</v>
      </c>
    </row>
    <row r="76" spans="6:29" ht="15">
      <c r="F76" s="248" t="s">
        <v>331</v>
      </c>
      <c r="G76" s="270"/>
      <c r="H76" s="270"/>
      <c r="I76" s="270"/>
      <c r="J76" s="270"/>
      <c r="K76" s="270"/>
      <c r="L76" s="270"/>
      <c r="M76" s="270"/>
      <c r="N76" s="270"/>
      <c r="O76" s="270"/>
      <c r="P76" s="271"/>
      <c r="S76" s="248" t="s">
        <v>331</v>
      </c>
      <c r="T76" s="270"/>
      <c r="U76" s="270"/>
      <c r="V76" s="270"/>
      <c r="W76" s="270"/>
      <c r="X76" s="270"/>
      <c r="Y76" s="270"/>
      <c r="Z76" s="270"/>
      <c r="AA76" s="270"/>
      <c r="AB76" s="270"/>
      <c r="AC76" s="271"/>
    </row>
    <row r="77" spans="6:29">
      <c r="F77" s="76"/>
      <c r="G77" s="177">
        <f>G71-(G75*G72/1000)</f>
        <v>50.779997999999999</v>
      </c>
      <c r="H77" s="177">
        <f>H71-(H72*H75/1000)</f>
        <v>12.627847893018014</v>
      </c>
      <c r="I77" s="177">
        <f t="shared" ref="I77:P77" si="36">I71-(I72*I75/1000)</f>
        <v>2.0950906930152939</v>
      </c>
      <c r="J77" s="177">
        <f t="shared" si="36"/>
        <v>-8.6401940910784703</v>
      </c>
      <c r="K77" s="177">
        <f t="shared" si="36"/>
        <v>-19.520569166666675</v>
      </c>
      <c r="L77" s="177">
        <f t="shared" si="36"/>
        <v>-27.528640700925905</v>
      </c>
      <c r="M77" s="177">
        <f t="shared" si="36"/>
        <v>-30.501647215675561</v>
      </c>
      <c r="N77" s="177">
        <f t="shared" si="36"/>
        <v>-41.556150843327842</v>
      </c>
      <c r="O77" s="177">
        <f t="shared" si="36"/>
        <v>-49.658079477954516</v>
      </c>
      <c r="P77" s="177">
        <f t="shared" si="36"/>
        <v>-52.659973251213245</v>
      </c>
      <c r="S77" s="76"/>
      <c r="T77" s="177" t="e">
        <f>#REF!-(T75*U72/1000)</f>
        <v>#REF!</v>
      </c>
      <c r="U77" s="177">
        <f>U71-(U72*U75/1000)</f>
        <v>-7.6108999999999991</v>
      </c>
      <c r="V77" s="177">
        <f t="shared" ref="V77:AC77" si="37">V71-(V72*V75/1000)</f>
        <v>-9.7511999999999954</v>
      </c>
      <c r="W77" s="177">
        <f t="shared" si="37"/>
        <v>-12.084</v>
      </c>
      <c r="X77" s="177">
        <f t="shared" si="37"/>
        <v>-14.584000000000001</v>
      </c>
      <c r="Y77" s="177">
        <f t="shared" si="37"/>
        <v>-16.471916800000002</v>
      </c>
      <c r="Z77" s="177">
        <f t="shared" si="37"/>
        <v>-17.235799999999998</v>
      </c>
      <c r="AA77" s="177">
        <f t="shared" si="37"/>
        <v>-20.026200000000006</v>
      </c>
      <c r="AB77" s="177">
        <f t="shared" si="37"/>
        <v>-21.9290287</v>
      </c>
      <c r="AC77" s="177">
        <f t="shared" si="37"/>
        <v>-22.6859</v>
      </c>
    </row>
    <row r="78" spans="6:29" ht="15">
      <c r="F78" s="248" t="s">
        <v>305</v>
      </c>
      <c r="G78" s="270"/>
      <c r="H78" s="270"/>
      <c r="I78" s="270"/>
      <c r="J78" s="270"/>
      <c r="K78" s="270"/>
      <c r="L78" s="270"/>
      <c r="M78" s="270"/>
      <c r="N78" s="270"/>
      <c r="O78" s="270"/>
      <c r="P78" s="271"/>
      <c r="S78" s="248" t="s">
        <v>305</v>
      </c>
      <c r="T78" s="270"/>
      <c r="U78" s="270"/>
      <c r="V78" s="270"/>
      <c r="W78" s="270"/>
      <c r="X78" s="270"/>
      <c r="Y78" s="270"/>
      <c r="Z78" s="270"/>
      <c r="AA78" s="270"/>
      <c r="AB78" s="270"/>
      <c r="AC78" s="271"/>
    </row>
    <row r="79" spans="6:29">
      <c r="F79" s="76"/>
      <c r="G79" s="184">
        <f>EXP((-G77*1000)/($B$9*G75))</f>
        <v>1.2553244589155058E-9</v>
      </c>
      <c r="H79" s="184">
        <f t="shared" ref="H79:P79" si="38">EXP((-H77*1000)/($B$9*H75))</f>
        <v>0.11419955495936128</v>
      </c>
      <c r="I79" s="184">
        <f t="shared" si="38"/>
        <v>0.7297929677106505</v>
      </c>
      <c r="J79" s="281">
        <f t="shared" si="38"/>
        <v>3.1730865648450983</v>
      </c>
      <c r="K79" s="184">
        <f t="shared" si="38"/>
        <v>10.463734941461469</v>
      </c>
      <c r="L79" s="184">
        <f t="shared" si="38"/>
        <v>21.88609532673966</v>
      </c>
      <c r="M79" s="184">
        <f t="shared" si="38"/>
        <v>28.083720434237836</v>
      </c>
      <c r="N79" s="184">
        <f t="shared" si="38"/>
        <v>64.410620269019333</v>
      </c>
      <c r="O79" s="184">
        <f t="shared" si="38"/>
        <v>109.06343545196289</v>
      </c>
      <c r="P79" s="184">
        <f t="shared" si="38"/>
        <v>130.61109507596794</v>
      </c>
      <c r="S79" s="76"/>
      <c r="T79" s="184" t="e">
        <f>EXP((-T77*1000)/($B$9*T75))</f>
        <v>#REF!</v>
      </c>
      <c r="U79" s="177">
        <f>EXP((-U77*1000)/($B$9*U75))</f>
        <v>3.6978801270713388</v>
      </c>
      <c r="V79" s="177">
        <f t="shared" ref="V79:AC79" si="39">EXP((-V77*1000)/($B$9*V75))</f>
        <v>4.3322251810346115</v>
      </c>
      <c r="W79" s="177">
        <f t="shared" si="39"/>
        <v>5.0276198249741961</v>
      </c>
      <c r="X79" s="177">
        <f t="shared" si="39"/>
        <v>5.778531745441863</v>
      </c>
      <c r="Y79" s="177">
        <f t="shared" si="39"/>
        <v>6.3371972102376422</v>
      </c>
      <c r="Z79" s="177">
        <f t="shared" si="39"/>
        <v>6.5839933878199854</v>
      </c>
      <c r="AA79" s="177">
        <f t="shared" si="39"/>
        <v>7.4430215027785627</v>
      </c>
      <c r="AB79" s="177">
        <f t="shared" si="39"/>
        <v>7.9403560469260563</v>
      </c>
      <c r="AC79" s="177">
        <f t="shared" si="39"/>
        <v>8.1576215279053326</v>
      </c>
    </row>
    <row r="80" spans="6:29" ht="15">
      <c r="F80" s="269" t="s">
        <v>332</v>
      </c>
      <c r="G80" s="276"/>
      <c r="H80" s="276"/>
      <c r="I80" s="276"/>
      <c r="J80" s="276"/>
      <c r="K80" s="276"/>
      <c r="L80" s="276"/>
      <c r="M80" s="276"/>
      <c r="N80" s="276"/>
      <c r="O80" s="276"/>
      <c r="P80" s="250"/>
      <c r="S80" s="269" t="s">
        <v>332</v>
      </c>
      <c r="T80" s="276"/>
      <c r="U80" s="276"/>
      <c r="V80" s="276"/>
      <c r="W80" s="276"/>
      <c r="X80" s="276"/>
      <c r="Y80" s="276"/>
      <c r="Z80" s="276"/>
      <c r="AA80" s="276"/>
      <c r="AB80" s="276"/>
      <c r="AC80" s="250"/>
    </row>
    <row r="81" spans="6:29">
      <c r="F81" s="75"/>
      <c r="G81" s="5">
        <f>$B$14*EXP(-$B$15/($B$9*G75))</f>
        <v>4.7065043763060867E-10</v>
      </c>
      <c r="H81" s="5">
        <f t="shared" ref="H81:P81" si="40">$B$14*EXP(-$B$15/($B$9*H75))</f>
        <v>0.14893565768017408</v>
      </c>
      <c r="I81" s="5">
        <f t="shared" si="40"/>
        <v>0.91337871045613572</v>
      </c>
      <c r="J81" s="5">
        <f t="shared" si="40"/>
        <v>3.7434260662395564</v>
      </c>
      <c r="K81" s="5">
        <f t="shared" si="40"/>
        <v>11.570815281873209</v>
      </c>
      <c r="L81" s="5">
        <f t="shared" si="40"/>
        <v>23.091380876851584</v>
      </c>
      <c r="M81" s="5">
        <f t="shared" si="40"/>
        <v>29.130674032591397</v>
      </c>
      <c r="N81" s="5">
        <f t="shared" si="40"/>
        <v>62.879055718898421</v>
      </c>
      <c r="O81" s="5">
        <f t="shared" si="40"/>
        <v>102.16192824475718</v>
      </c>
      <c r="P81" s="5">
        <f t="shared" si="40"/>
        <v>120.57380147054623</v>
      </c>
      <c r="S81" s="75"/>
      <c r="T81" s="5">
        <f>$B$14*EXP(-$B$15/($B$9*T75))</f>
        <v>4.7065043763060867E-10</v>
      </c>
      <c r="U81" s="7">
        <f t="shared" ref="U81:AC81" si="41">$B$14*EXP(-$B$15/($B$9*U75))</f>
        <v>0.14893565768017408</v>
      </c>
      <c r="V81" s="7">
        <f t="shared" si="41"/>
        <v>0.91337871045613572</v>
      </c>
      <c r="W81" s="7">
        <f t="shared" si="41"/>
        <v>3.7434260662395564</v>
      </c>
      <c r="X81" s="7">
        <f t="shared" si="41"/>
        <v>11.570815281873209</v>
      </c>
      <c r="Y81" s="7">
        <f t="shared" si="41"/>
        <v>23.091380876851584</v>
      </c>
      <c r="Z81" s="7">
        <f t="shared" si="41"/>
        <v>29.130674032591397</v>
      </c>
      <c r="AA81" s="7">
        <f t="shared" si="41"/>
        <v>62.879055718898421</v>
      </c>
      <c r="AB81" s="7">
        <f t="shared" si="41"/>
        <v>102.16192824475718</v>
      </c>
      <c r="AC81" s="7">
        <f t="shared" si="41"/>
        <v>120.57380147054623</v>
      </c>
    </row>
    <row r="82" spans="6:29" ht="15">
      <c r="F82" s="252" t="s">
        <v>307</v>
      </c>
      <c r="G82" s="270"/>
      <c r="H82" s="270"/>
      <c r="I82" s="270"/>
      <c r="J82" s="270"/>
      <c r="K82" s="270"/>
      <c r="L82" s="270"/>
      <c r="M82" s="270"/>
      <c r="N82" s="270"/>
      <c r="O82" s="270"/>
      <c r="P82" s="271"/>
      <c r="S82" s="252" t="s">
        <v>307</v>
      </c>
      <c r="T82" s="270"/>
      <c r="U82" s="270"/>
      <c r="V82" s="270"/>
      <c r="W82" s="270"/>
      <c r="X82" s="270"/>
      <c r="Y82" s="270"/>
      <c r="Z82" s="270"/>
      <c r="AA82" s="270"/>
      <c r="AB82" s="270"/>
      <c r="AC82" s="271"/>
    </row>
    <row r="83" spans="6:29">
      <c r="F83" s="76"/>
      <c r="G83" s="177">
        <f t="shared" ref="G83:P83" si="42">((G79-G81)/G79)*100</f>
        <v>62.507666102737225</v>
      </c>
      <c r="H83" s="177">
        <f t="shared" si="42"/>
        <v>-30.417021093623255</v>
      </c>
      <c r="I83" s="177">
        <f t="shared" si="42"/>
        <v>-25.155866234418632</v>
      </c>
      <c r="J83" s="177">
        <f t="shared" si="42"/>
        <v>-17.974281184550684</v>
      </c>
      <c r="K83" s="177">
        <f t="shared" si="42"/>
        <v>-10.580164220569541</v>
      </c>
      <c r="L83" s="177">
        <f t="shared" si="42"/>
        <v>-5.5070835254900334</v>
      </c>
      <c r="M83" s="177">
        <f t="shared" si="42"/>
        <v>-3.7279732961491217</v>
      </c>
      <c r="N83" s="177">
        <f t="shared" si="42"/>
        <v>2.37781369551191</v>
      </c>
      <c r="O83" s="177">
        <f t="shared" si="42"/>
        <v>6.3279752545897825</v>
      </c>
      <c r="P83" s="177">
        <f t="shared" si="42"/>
        <v>7.6848705690612817</v>
      </c>
      <c r="S83" s="76"/>
      <c r="T83" s="177" t="e">
        <f>((T79-T81)/T79)*100</f>
        <v>#REF!</v>
      </c>
      <c r="U83" s="177">
        <f>((U79-U81)/U79)*100</f>
        <v>95.972404389481142</v>
      </c>
      <c r="V83" s="177">
        <f t="shared" ref="V83:AC83" si="43">((V79-V81)/V79)*100</f>
        <v>78.916638164270012</v>
      </c>
      <c r="W83" s="177">
        <f t="shared" si="43"/>
        <v>25.542777764451007</v>
      </c>
      <c r="X83" s="177">
        <f t="shared" si="43"/>
        <v>-100.23798071197463</v>
      </c>
      <c r="Y83" s="177">
        <f t="shared" si="43"/>
        <v>-264.37844856000095</v>
      </c>
      <c r="Z83" s="177">
        <f t="shared" si="43"/>
        <v>-342.44689076513191</v>
      </c>
      <c r="AA83" s="177">
        <f t="shared" si="43"/>
        <v>-744.8055093677342</v>
      </c>
      <c r="AB83" s="177">
        <f t="shared" si="43"/>
        <v>-1186.6164645640424</v>
      </c>
      <c r="AC83" s="177">
        <f t="shared" si="43"/>
        <v>-1378.0509374955825</v>
      </c>
    </row>
    <row r="84" spans="6:29">
      <c r="H84" s="172">
        <v>-5.6042895121268632</v>
      </c>
      <c r="I84" s="172">
        <v>0.22135673029765746</v>
      </c>
      <c r="J84" s="172">
        <v>6.4019392812056681</v>
      </c>
      <c r="K84" s="172">
        <v>11.936998075391477</v>
      </c>
      <c r="L84" s="172">
        <v>15.089346699094053</v>
      </c>
      <c r="M84" s="172">
        <v>16.571480277869952</v>
      </c>
      <c r="N84" s="172">
        <v>20.317203621081809</v>
      </c>
      <c r="O84" s="172">
        <v>20.950220217221581</v>
      </c>
      <c r="P84" s="172">
        <v>21.410534042325541</v>
      </c>
    </row>
    <row r="85" spans="6:29" ht="15">
      <c r="F85" s="277" t="s">
        <v>319</v>
      </c>
      <c r="G85" s="278" t="s">
        <v>333</v>
      </c>
      <c r="H85" s="279"/>
      <c r="I85" s="279"/>
      <c r="J85" s="279"/>
      <c r="K85" s="279"/>
      <c r="L85" s="279"/>
      <c r="M85" s="279"/>
      <c r="N85" s="279"/>
      <c r="O85" s="279"/>
      <c r="P85" s="280"/>
    </row>
    <row r="86" spans="6:29" ht="15">
      <c r="F86" s="221" t="s">
        <v>319</v>
      </c>
      <c r="G86" s="12">
        <v>298</v>
      </c>
      <c r="H86" s="12">
        <v>700</v>
      </c>
      <c r="I86" s="12">
        <v>800</v>
      </c>
      <c r="J86" s="12">
        <v>900</v>
      </c>
      <c r="K86" s="12">
        <v>1000</v>
      </c>
      <c r="L86" s="12">
        <v>1073</v>
      </c>
      <c r="M86" s="12">
        <v>1100</v>
      </c>
      <c r="N86" s="12">
        <v>1200</v>
      </c>
      <c r="O86" s="12">
        <v>1273</v>
      </c>
      <c r="P86" s="243">
        <v>1300</v>
      </c>
    </row>
    <row r="87" spans="6:29" ht="15">
      <c r="F87" s="220" t="s">
        <v>301</v>
      </c>
      <c r="G87" s="273">
        <f>-B7-B3+2*B5</f>
        <v>172.46799999999999</v>
      </c>
      <c r="H87" s="219">
        <f>-H33-H17+2*H25+$G$87</f>
        <v>173.02215633679882</v>
      </c>
      <c r="I87" s="219">
        <f t="shared" ref="I87:P87" si="44">-I33-I17+2*I25+$G$87</f>
        <v>172.36009578773331</v>
      </c>
      <c r="J87" s="219">
        <f t="shared" si="44"/>
        <v>171.55422697749725</v>
      </c>
      <c r="K87" s="219">
        <f t="shared" si="44"/>
        <v>170.64611341666674</v>
      </c>
      <c r="L87" s="219">
        <f t="shared" si="44"/>
        <v>169.93520365847786</v>
      </c>
      <c r="M87" s="219">
        <f t="shared" si="44"/>
        <v>169.66361813497201</v>
      </c>
      <c r="N87" s="219">
        <f t="shared" si="44"/>
        <v>168.62162280106671</v>
      </c>
      <c r="O87" s="219">
        <f t="shared" si="44"/>
        <v>167.83022514495858</v>
      </c>
      <c r="P87" s="219">
        <f t="shared" si="44"/>
        <v>167.52874939910643</v>
      </c>
    </row>
    <row r="88" spans="6:29" ht="15">
      <c r="F88" s="221" t="s">
        <v>299</v>
      </c>
      <c r="G88" s="274">
        <f>-C7-C3+2*C5</f>
        <v>175.77099999999999</v>
      </c>
      <c r="H88" s="172">
        <f>-H34-H18+2*H26</f>
        <v>178.06464863787261</v>
      </c>
      <c r="I88" s="172">
        <f t="shared" ref="I88:P88" si="45">-I34-I18+2*I26</f>
        <v>177.1830724908196</v>
      </c>
      <c r="J88" s="172">
        <f t="shared" si="45"/>
        <v>176.23524187059132</v>
      </c>
      <c r="K88" s="172">
        <f t="shared" si="45"/>
        <v>175.27887133333337</v>
      </c>
      <c r="L88" s="172">
        <f t="shared" si="45"/>
        <v>174.59342488856811</v>
      </c>
      <c r="M88" s="172">
        <f t="shared" si="45"/>
        <v>174.34383129900863</v>
      </c>
      <c r="N88" s="172">
        <f t="shared" si="45"/>
        <v>173.43720067726019</v>
      </c>
      <c r="O88" s="172">
        <f t="shared" si="45"/>
        <v>172.79926909623379</v>
      </c>
      <c r="P88" s="172">
        <f t="shared" si="45"/>
        <v>172.56493376267059</v>
      </c>
    </row>
    <row r="89" spans="6:29" ht="15">
      <c r="F89" s="222" t="s">
        <v>300</v>
      </c>
      <c r="G89" s="275">
        <f>-D7-D3+2*D5</f>
        <v>12.634999999999998</v>
      </c>
      <c r="H89" s="177">
        <f>-H35-H19+2*H27</f>
        <v>1.5439573060612162</v>
      </c>
      <c r="I89" s="177">
        <f t="shared" ref="I89:P89" si="46">-I35-I19+2*I27</f>
        <v>0.25189491199999736</v>
      </c>
      <c r="J89" s="177">
        <f t="shared" si="46"/>
        <v>-0.65858328816050005</v>
      </c>
      <c r="K89" s="177">
        <f t="shared" si="46"/>
        <v>-1.3077770000000157</v>
      </c>
      <c r="L89" s="177">
        <f t="shared" si="46"/>
        <v>-1.6813357980833388</v>
      </c>
      <c r="M89" s="177">
        <f t="shared" si="46"/>
        <v>-1.8078428505702533</v>
      </c>
      <c r="N89" s="177">
        <f t="shared" si="46"/>
        <v>-2.2666834897777903</v>
      </c>
      <c r="O89" s="177">
        <f t="shared" si="46"/>
        <v>-2.6040190173808355</v>
      </c>
      <c r="P89" s="177">
        <f t="shared" si="46"/>
        <v>-2.7469840779171619</v>
      </c>
    </row>
    <row r="91" spans="6:29" ht="15">
      <c r="F91" s="220" t="s">
        <v>319</v>
      </c>
      <c r="G91" s="239">
        <v>298</v>
      </c>
      <c r="H91" s="239">
        <v>700</v>
      </c>
      <c r="I91" s="239">
        <v>800</v>
      </c>
      <c r="J91" s="239">
        <v>900</v>
      </c>
      <c r="K91" s="239">
        <v>1000</v>
      </c>
      <c r="L91" s="239">
        <v>1073</v>
      </c>
      <c r="M91" s="239">
        <v>1100</v>
      </c>
      <c r="N91" s="239">
        <v>1200</v>
      </c>
      <c r="O91" s="239">
        <v>1273</v>
      </c>
      <c r="P91" s="240">
        <v>1300</v>
      </c>
    </row>
    <row r="92" spans="6:29" ht="15">
      <c r="F92" s="248" t="s">
        <v>334</v>
      </c>
      <c r="G92" s="270"/>
      <c r="H92" s="270"/>
      <c r="I92" s="270"/>
      <c r="J92" s="270"/>
      <c r="K92" s="270"/>
      <c r="L92" s="270"/>
      <c r="M92" s="270"/>
      <c r="N92" s="270"/>
      <c r="O92" s="270"/>
      <c r="P92" s="271"/>
    </row>
    <row r="93" spans="6:29">
      <c r="F93" s="76"/>
      <c r="G93" s="177">
        <f>-(G87-(G91*G88/1000))</f>
        <v>-120.08824199999999</v>
      </c>
      <c r="H93" s="177">
        <f t="shared" ref="H93:P93" si="47">-(H87-(H91*H88/1000))</f>
        <v>-48.376902290287987</v>
      </c>
      <c r="I93" s="177">
        <f t="shared" si="47"/>
        <v>-30.613637795077636</v>
      </c>
      <c r="J93" s="177">
        <f t="shared" si="47"/>
        <v>-12.94250929396506</v>
      </c>
      <c r="K93" s="177">
        <f t="shared" si="47"/>
        <v>4.6327579166666339</v>
      </c>
      <c r="L93" s="177">
        <f t="shared" si="47"/>
        <v>17.40354124695574</v>
      </c>
      <c r="M93" s="177">
        <f t="shared" si="47"/>
        <v>22.114596293937495</v>
      </c>
      <c r="N93" s="177">
        <f t="shared" si="47"/>
        <v>39.503018011645509</v>
      </c>
      <c r="O93" s="177">
        <f t="shared" si="47"/>
        <v>52.143244414547041</v>
      </c>
      <c r="P93" s="177">
        <f t="shared" si="47"/>
        <v>56.805664492365338</v>
      </c>
    </row>
    <row r="94" spans="6:29" ht="15">
      <c r="F94" s="248" t="s">
        <v>305</v>
      </c>
      <c r="G94" s="270"/>
      <c r="H94" s="270"/>
      <c r="I94" s="270"/>
      <c r="J94" s="270"/>
      <c r="K94" s="270"/>
      <c r="L94" s="270"/>
      <c r="M94" s="270"/>
      <c r="N94" s="270"/>
      <c r="O94" s="270"/>
      <c r="P94" s="271"/>
    </row>
    <row r="95" spans="6:29">
      <c r="F95" s="76"/>
      <c r="G95" s="184">
        <f>(EXP((-G93*1000)/($B$9*G91)))</f>
        <v>1.1228219287835079E+21</v>
      </c>
      <c r="H95" s="184">
        <f t="shared" ref="H95:P95" si="48">(EXP((-H93*1000)/($B$9*H91)))</f>
        <v>4074.3568130614567</v>
      </c>
      <c r="I95" s="184">
        <f t="shared" si="48"/>
        <v>99.755679242976342</v>
      </c>
      <c r="J95" s="184">
        <f t="shared" si="48"/>
        <v>5.6388535030080105</v>
      </c>
      <c r="K95" s="184">
        <f t="shared" si="48"/>
        <v>0.57279710984798149</v>
      </c>
      <c r="L95" s="184">
        <f t="shared" si="48"/>
        <v>0.14215063148579335</v>
      </c>
      <c r="M95" s="184">
        <f t="shared" si="48"/>
        <v>8.9089710622101304E-2</v>
      </c>
      <c r="N95" s="184">
        <f t="shared" si="48"/>
        <v>1.9072880673913599E-2</v>
      </c>
      <c r="O95" s="184">
        <f t="shared" si="48"/>
        <v>7.2501015706163364E-3</v>
      </c>
      <c r="P95" s="184">
        <f t="shared" si="48"/>
        <v>5.2172061555535035E-3</v>
      </c>
    </row>
    <row r="96" spans="6:29" ht="15">
      <c r="F96" s="269" t="s">
        <v>335</v>
      </c>
      <c r="G96" s="276"/>
      <c r="H96" s="276"/>
      <c r="I96" s="276"/>
      <c r="J96" s="276"/>
      <c r="K96" s="276"/>
      <c r="L96" s="276"/>
      <c r="M96" s="276"/>
      <c r="N96" s="276"/>
      <c r="O96" s="276"/>
      <c r="P96" s="250"/>
    </row>
    <row r="97" spans="6:16">
      <c r="F97" s="75"/>
      <c r="G97" s="5">
        <f>1/($B$16*EXP(-$B$17/($B$9*G91)))</f>
        <v>1.8013611381275014E+20</v>
      </c>
      <c r="H97" s="5">
        <f>1/($B$16*EXP(-$B$17/($B$9*H91)))</f>
        <v>1952.2512516743698</v>
      </c>
      <c r="I97" s="5">
        <f t="shared" ref="I97:P97" si="49">1/($B$16*EXP(-$B$17/($B$9*I91)))</f>
        <v>52.302696836521292</v>
      </c>
      <c r="J97" s="5">
        <f t="shared" si="49"/>
        <v>3.132191974141544</v>
      </c>
      <c r="K97" s="5">
        <f t="shared" si="49"/>
        <v>0.3293880235172098</v>
      </c>
      <c r="L97" s="5">
        <f t="shared" si="49"/>
        <v>8.2945039831764086E-2</v>
      </c>
      <c r="M97" s="5">
        <f t="shared" si="49"/>
        <v>5.2168815459369751E-2</v>
      </c>
      <c r="N97" s="5">
        <f t="shared" si="49"/>
        <v>1.1233030861180398E-2</v>
      </c>
      <c r="O97" s="5">
        <f t="shared" si="49"/>
        <v>4.2639488527602774E-3</v>
      </c>
      <c r="P97" s="5">
        <f t="shared" si="49"/>
        <v>3.063268646620718E-3</v>
      </c>
    </row>
    <row r="98" spans="6:16" ht="15">
      <c r="F98" s="252" t="s">
        <v>307</v>
      </c>
      <c r="G98" s="270"/>
      <c r="H98" s="270"/>
      <c r="I98" s="270"/>
      <c r="J98" s="270"/>
      <c r="K98" s="270"/>
      <c r="L98" s="270"/>
      <c r="M98" s="270"/>
      <c r="N98" s="270"/>
      <c r="O98" s="270"/>
      <c r="P98" s="271"/>
    </row>
    <row r="99" spans="6:16">
      <c r="F99" s="76"/>
      <c r="G99" s="177">
        <f>((G95-G97)/G95)*100</f>
        <v>83.95684042189005</v>
      </c>
      <c r="H99" s="177">
        <f>((H95-H97)/H95)*100</f>
        <v>52.084430960589934</v>
      </c>
      <c r="I99" s="177">
        <f t="shared" ref="I99:P99" si="50">((I95-I97)/I95)*100</f>
        <v>47.56920384540026</v>
      </c>
      <c r="J99" s="177">
        <f>((J95-J97)/J95)*100</f>
        <v>44.453389816374973</v>
      </c>
      <c r="K99" s="177">
        <f t="shared" si="50"/>
        <v>42.494817474789926</v>
      </c>
      <c r="L99" s="177">
        <f>((L95-L97)/L95)*100</f>
        <v>41.649897038935293</v>
      </c>
      <c r="M99" s="177">
        <f t="shared" si="50"/>
        <v>41.442378592227961</v>
      </c>
      <c r="N99" s="177">
        <f t="shared" si="50"/>
        <v>41.10469701336693</v>
      </c>
      <c r="O99" s="177">
        <f>((O95-O97)/O95)*100</f>
        <v>41.187736320254118</v>
      </c>
      <c r="P99" s="177">
        <f t="shared" si="50"/>
        <v>41.285267338727003</v>
      </c>
    </row>
    <row r="100" spans="6:16">
      <c r="H100" s="172">
        <v>61.200696177965497</v>
      </c>
      <c r="I100" s="172">
        <v>58.200331608446866</v>
      </c>
      <c r="J100" s="172">
        <v>55.930606734893949</v>
      </c>
      <c r="K100" s="172">
        <v>54.204453980630419</v>
      </c>
      <c r="L100" s="172">
        <v>53.040637680008217</v>
      </c>
      <c r="M100" s="172">
        <v>52.902042551710707</v>
      </c>
      <c r="N100" s="172">
        <v>51.92750118378747</v>
      </c>
      <c r="O100" s="172">
        <v>50.36835698762431</v>
      </c>
      <c r="P100" s="172">
        <v>50.015132815806872</v>
      </c>
    </row>
    <row r="102" spans="6:16" ht="15">
      <c r="F102" s="248" t="s">
        <v>349</v>
      </c>
      <c r="G102" s="270"/>
      <c r="H102" s="270"/>
      <c r="I102" s="270"/>
      <c r="J102" s="270"/>
      <c r="K102" s="270"/>
      <c r="L102" s="270"/>
      <c r="M102" s="270"/>
      <c r="N102" s="270"/>
      <c r="O102" s="270"/>
      <c r="P102" s="271"/>
    </row>
    <row r="103" spans="6:16" ht="15">
      <c r="F103" s="293" t="s">
        <v>348</v>
      </c>
      <c r="G103" s="290">
        <f>G45</f>
        <v>170.86824000000001</v>
      </c>
      <c r="H103" s="290">
        <f>H45</f>
        <v>61.004750183305987</v>
      </c>
      <c r="I103" s="290">
        <f t="shared" ref="I103:P103" si="51">I45</f>
        <v>32.708728488092959</v>
      </c>
      <c r="J103" s="290">
        <f t="shared" si="51"/>
        <v>4.3023152028866036</v>
      </c>
      <c r="K103" s="290">
        <f t="shared" si="51"/>
        <v>-24.153327083333238</v>
      </c>
      <c r="L103" s="290">
        <f t="shared" si="51"/>
        <v>-44.932181947881588</v>
      </c>
      <c r="M103" s="290">
        <f t="shared" si="51"/>
        <v>-52.616243509613071</v>
      </c>
      <c r="N103" s="290">
        <f t="shared" si="51"/>
        <v>-81.059168854973223</v>
      </c>
      <c r="O103" s="290">
        <f t="shared" si="51"/>
        <v>-101.8013238925015</v>
      </c>
      <c r="P103" s="291">
        <f t="shared" si="51"/>
        <v>-109.46563774357867</v>
      </c>
    </row>
    <row r="104" spans="6:16" ht="15">
      <c r="F104" s="294" t="s">
        <v>347</v>
      </c>
      <c r="G104" s="177">
        <f>G77-G93</f>
        <v>170.86823999999999</v>
      </c>
      <c r="H104" s="177">
        <f t="shared" ref="H104:P104" si="52">H77-H93</f>
        <v>61.004750183306001</v>
      </c>
      <c r="I104" s="177">
        <f t="shared" si="52"/>
        <v>32.70872848809293</v>
      </c>
      <c r="J104" s="177">
        <f t="shared" si="52"/>
        <v>4.3023152028865894</v>
      </c>
      <c r="K104" s="177">
        <f t="shared" si="52"/>
        <v>-24.153327083333309</v>
      </c>
      <c r="L104" s="177">
        <f t="shared" si="52"/>
        <v>-44.932181947881645</v>
      </c>
      <c r="M104" s="177">
        <f t="shared" si="52"/>
        <v>-52.616243509613057</v>
      </c>
      <c r="N104" s="177">
        <f t="shared" si="52"/>
        <v>-81.05916885497335</v>
      </c>
      <c r="O104" s="177">
        <f>O77-O93</f>
        <v>-101.80132389250156</v>
      </c>
      <c r="P104" s="178">
        <f t="shared" si="52"/>
        <v>-109.46563774357858</v>
      </c>
    </row>
    <row r="106" spans="6:16" ht="15">
      <c r="F106" s="245" t="s">
        <v>352</v>
      </c>
      <c r="G106" s="253" t="s">
        <v>351</v>
      </c>
      <c r="H106" s="223"/>
      <c r="I106" s="223"/>
      <c r="J106" s="223"/>
      <c r="K106" s="223"/>
      <c r="L106" s="223"/>
      <c r="M106" s="223"/>
      <c r="N106" s="223"/>
      <c r="O106" s="223"/>
      <c r="P106" s="225"/>
    </row>
    <row r="107" spans="6:16" ht="15">
      <c r="F107" s="221" t="s">
        <v>352</v>
      </c>
      <c r="G107" s="242">
        <v>298</v>
      </c>
      <c r="H107" s="242">
        <v>700</v>
      </c>
      <c r="I107" s="242">
        <v>800</v>
      </c>
      <c r="J107" s="242">
        <v>900</v>
      </c>
      <c r="K107" s="242">
        <v>1000</v>
      </c>
      <c r="L107" s="242">
        <v>1073</v>
      </c>
      <c r="M107" s="242">
        <v>1100</v>
      </c>
      <c r="N107" s="242">
        <v>1200</v>
      </c>
      <c r="O107" s="242">
        <v>1273</v>
      </c>
      <c r="P107" s="243">
        <v>1300</v>
      </c>
    </row>
    <row r="108" spans="6:16" ht="15">
      <c r="F108" s="220" t="s">
        <v>301</v>
      </c>
      <c r="G108" s="273">
        <f>4*B5+2*B6-3*B3-B2</f>
        <v>329.67900000000003</v>
      </c>
      <c r="H108" s="50">
        <f>4*H25+2*H29-H13-3*H17+$G$108</f>
        <v>334.26416621165123</v>
      </c>
      <c r="I108" s="50">
        <f t="shared" ref="I108:P108" si="53">4*I25+2*I29-I13-3*I17+$G$108</f>
        <v>333.29831020146668</v>
      </c>
      <c r="J108" s="50">
        <f t="shared" si="53"/>
        <v>331.85518578161953</v>
      </c>
      <c r="K108" s="50">
        <f t="shared" si="53"/>
        <v>330.05473508333353</v>
      </c>
      <c r="L108" s="50">
        <f t="shared" si="53"/>
        <v>328.56807936199851</v>
      </c>
      <c r="M108" s="50">
        <f t="shared" si="53"/>
        <v>327.98780603929646</v>
      </c>
      <c r="N108" s="50">
        <f t="shared" si="53"/>
        <v>325.71690943813348</v>
      </c>
      <c r="O108" s="50">
        <f t="shared" si="53"/>
        <v>323.96730876965751</v>
      </c>
      <c r="P108" s="51">
        <f t="shared" si="53"/>
        <v>323.29562994384889</v>
      </c>
    </row>
    <row r="109" spans="6:16" ht="15">
      <c r="F109" s="221" t="s">
        <v>299</v>
      </c>
      <c r="G109" s="274">
        <f>4*C5+2*C6-3*C3-C2</f>
        <v>340.64400000000001</v>
      </c>
      <c r="H109" s="232">
        <f t="shared" ref="H109:P109" si="54">4*H26+2*H30-H14-3*H18</f>
        <v>353.03256643455688</v>
      </c>
      <c r="I109" s="232">
        <f t="shared" si="54"/>
        <v>351.75097672863558</v>
      </c>
      <c r="J109" s="232">
        <f t="shared" si="54"/>
        <v>350.05598676661543</v>
      </c>
      <c r="K109" s="232">
        <f t="shared" si="54"/>
        <v>348.16186183333355</v>
      </c>
      <c r="L109" s="232">
        <f t="shared" si="54"/>
        <v>346.72768523302</v>
      </c>
      <c r="M109" s="232">
        <f t="shared" si="54"/>
        <v>346.19361095074532</v>
      </c>
      <c r="N109" s="232">
        <f t="shared" si="54"/>
        <v>344.21881866763579</v>
      </c>
      <c r="O109" s="232">
        <f t="shared" si="54"/>
        <v>342.81047707008486</v>
      </c>
      <c r="P109" s="67">
        <f t="shared" si="54"/>
        <v>342.28837475352293</v>
      </c>
    </row>
    <row r="110" spans="6:16" ht="15">
      <c r="F110" s="222" t="s">
        <v>300</v>
      </c>
      <c r="G110" s="275">
        <f>4*D5+2*D6-3*D3-D2</f>
        <v>36.721999999999987</v>
      </c>
      <c r="H110" s="49">
        <f t="shared" ref="H110:P110" si="55">4*H27+2*H31-H15-3*H19</f>
        <v>-6.7970798377754988</v>
      </c>
      <c r="I110" s="49">
        <f t="shared" si="55"/>
        <v>-12.269618658500008</v>
      </c>
      <c r="J110" s="49">
        <f t="shared" si="55"/>
        <v>-16.393197508604942</v>
      </c>
      <c r="K110" s="49">
        <f t="shared" si="55"/>
        <v>-19.464521000000019</v>
      </c>
      <c r="L110" s="49">
        <f t="shared" si="55"/>
        <v>-21.206922158132016</v>
      </c>
      <c r="M110" s="49">
        <f t="shared" si="55"/>
        <v>-21.769939467958636</v>
      </c>
      <c r="N110" s="49">
        <f t="shared" si="55"/>
        <v>-23.590394131777799</v>
      </c>
      <c r="O110" s="49">
        <f t="shared" si="55"/>
        <v>-24.676012243314176</v>
      </c>
      <c r="P110" s="52">
        <f t="shared" si="55"/>
        <v>-25.075272300011875</v>
      </c>
    </row>
    <row r="113" spans="6:16" ht="15">
      <c r="F113" s="248" t="s">
        <v>354</v>
      </c>
      <c r="G113" s="270"/>
      <c r="H113" s="270"/>
      <c r="I113" s="270"/>
      <c r="J113" s="270"/>
      <c r="K113" s="270"/>
      <c r="L113" s="270"/>
      <c r="M113" s="270"/>
      <c r="N113" s="270"/>
      <c r="O113" s="270"/>
      <c r="P113" s="271"/>
    </row>
    <row r="114" spans="6:16" ht="15">
      <c r="F114" s="292" t="s">
        <v>350</v>
      </c>
      <c r="G114" s="50">
        <f>EXP((-G115*1000)/($B$9*G107))</f>
        <v>1.0104377146610214E-40</v>
      </c>
      <c r="H114" s="156">
        <f t="shared" ref="H114:P114" si="56">EXP((-H115*1000)/($B$9*H107))</f>
        <v>3.1419297147802015E-7</v>
      </c>
      <c r="I114" s="156">
        <f t="shared" si="56"/>
        <v>4.0861724955417399E-4</v>
      </c>
      <c r="J114" s="156">
        <f t="shared" si="56"/>
        <v>0.10583753340679833</v>
      </c>
      <c r="K114" s="156">
        <f t="shared" si="56"/>
        <v>8.8278187459341382</v>
      </c>
      <c r="L114" s="156">
        <f t="shared" si="56"/>
        <v>130.698899116728</v>
      </c>
      <c r="M114" s="156">
        <f t="shared" si="56"/>
        <v>322.51383719478963</v>
      </c>
      <c r="N114" s="156">
        <f t="shared" si="56"/>
        <v>6341.5507460372892</v>
      </c>
      <c r="O114" s="156">
        <f t="shared" si="56"/>
        <v>41066.889058997025</v>
      </c>
      <c r="P114" s="298">
        <f t="shared" si="56"/>
        <v>77501.309611184362</v>
      </c>
    </row>
    <row r="115" spans="6:16" ht="15">
      <c r="F115" s="292" t="s">
        <v>353</v>
      </c>
      <c r="G115" s="295">
        <f>G108-(G109*G107/1000)</f>
        <v>228.16708800000004</v>
      </c>
      <c r="H115" s="295">
        <f>H108-(H109*H107/1000)</f>
        <v>87.141369707461422</v>
      </c>
      <c r="I115" s="295">
        <f t="shared" ref="I115:P115" si="57">I108-(I109*I107/1000)</f>
        <v>51.897528818558214</v>
      </c>
      <c r="J115" s="295">
        <f t="shared" si="57"/>
        <v>16.804797691665669</v>
      </c>
      <c r="K115" s="295">
        <f t="shared" si="57"/>
        <v>-18.10712675000002</v>
      </c>
      <c r="L115" s="295">
        <f t="shared" si="57"/>
        <v>-43.470726893031951</v>
      </c>
      <c r="M115" s="295">
        <f t="shared" si="57"/>
        <v>-52.825166006523375</v>
      </c>
      <c r="N115" s="295">
        <f t="shared" si="57"/>
        <v>-87.345672963029472</v>
      </c>
      <c r="O115" s="295">
        <f t="shared" si="57"/>
        <v>-112.43042854056051</v>
      </c>
      <c r="P115" s="296">
        <f t="shared" si="57"/>
        <v>-121.67925723573092</v>
      </c>
    </row>
    <row r="116" spans="6:16" ht="15">
      <c r="F116" s="222" t="s">
        <v>356</v>
      </c>
      <c r="H116" s="172">
        <f>H45+2*H61</f>
        <v>87.141369707461322</v>
      </c>
      <c r="I116" s="172">
        <f t="shared" ref="I116:P116" si="58">I45+2*I61</f>
        <v>51.897528818558165</v>
      </c>
      <c r="J116" s="172">
        <f t="shared" si="58"/>
        <v>16.804797691665556</v>
      </c>
      <c r="K116" s="172">
        <f t="shared" si="58"/>
        <v>-18.107126749999978</v>
      </c>
      <c r="L116" s="172">
        <f t="shared" si="58"/>
        <v>-43.470726893032065</v>
      </c>
      <c r="M116" s="172">
        <f t="shared" si="58"/>
        <v>-52.825166006523375</v>
      </c>
      <c r="N116" s="172">
        <f t="shared" si="58"/>
        <v>-87.34567296302923</v>
      </c>
      <c r="O116" s="172">
        <f t="shared" si="58"/>
        <v>-112.4304285405607</v>
      </c>
      <c r="P116" s="172">
        <f t="shared" si="58"/>
        <v>-121.67925723573111</v>
      </c>
    </row>
    <row r="117" spans="6:16" ht="15">
      <c r="F117" s="222" t="s">
        <v>355</v>
      </c>
      <c r="G117" s="65"/>
      <c r="H117" s="154">
        <f t="shared" ref="H117:P117" si="59">H49*(H65^2)</f>
        <v>3.1553848073756519E-7</v>
      </c>
      <c r="I117" s="154">
        <f t="shared" si="59"/>
        <v>4.0140339339863999E-4</v>
      </c>
      <c r="J117" s="154">
        <f t="shared" si="59"/>
        <v>0.10428323145651491</v>
      </c>
      <c r="K117" s="154">
        <f t="shared" si="59"/>
        <v>8.9108930839675686</v>
      </c>
      <c r="L117" s="154">
        <f t="shared" si="59"/>
        <v>135.74037919544625</v>
      </c>
      <c r="M117" s="154">
        <f t="shared" si="59"/>
        <v>339.16308419270814</v>
      </c>
      <c r="N117" s="154">
        <f t="shared" si="59"/>
        <v>7038.5202061738573</v>
      </c>
      <c r="O117" s="154">
        <f t="shared" si="59"/>
        <v>47674.064993188302</v>
      </c>
      <c r="P117" s="197">
        <f t="shared" si="59"/>
        <v>91606.768876447182</v>
      </c>
    </row>
    <row r="118" spans="6:16" ht="15">
      <c r="F118" s="297" t="s">
        <v>307</v>
      </c>
      <c r="G118" s="65"/>
      <c r="H118" s="295">
        <f t="shared" ref="H118:P118" si="60">((H117-H114)/H117)*100</f>
        <v>0.42641685299363086</v>
      </c>
      <c r="I118" s="295">
        <f t="shared" si="60"/>
        <v>-1.7971587371135669</v>
      </c>
      <c r="J118" s="295">
        <f t="shared" si="60"/>
        <v>-1.4904620125159278</v>
      </c>
      <c r="K118" s="295">
        <f t="shared" si="60"/>
        <v>0.93227847366833916</v>
      </c>
      <c r="L118" s="295">
        <f t="shared" si="60"/>
        <v>3.7140607007287483</v>
      </c>
      <c r="M118" s="295">
        <f t="shared" si="60"/>
        <v>4.9089207445874683</v>
      </c>
      <c r="N118" s="295">
        <f t="shared" si="60"/>
        <v>9.9022158027651823</v>
      </c>
      <c r="O118" s="295">
        <f t="shared" si="60"/>
        <v>13.859057194169017</v>
      </c>
      <c r="P118" s="296">
        <f t="shared" si="60"/>
        <v>15.397835158106361</v>
      </c>
    </row>
  </sheetData>
  <mergeCells count="2">
    <mergeCell ref="R5:S5"/>
    <mergeCell ref="R1:S1"/>
  </mergeCells>
  <phoneticPr fontId="8"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F2C19-7FE5-44E8-8AF7-C692978C025B}">
  <sheetPr>
    <tabColor theme="3" tint="0.499984740745262"/>
  </sheetPr>
  <dimension ref="A1:H36"/>
  <sheetViews>
    <sheetView tabSelected="1" workbookViewId="0">
      <selection activeCell="I13" sqref="I13"/>
    </sheetView>
  </sheetViews>
  <sheetFormatPr baseColWidth="10" defaultRowHeight="14.25"/>
  <cols>
    <col min="1" max="1" width="28.5" bestFit="1" customWidth="1"/>
    <col min="2" max="2" width="12.25" bestFit="1" customWidth="1"/>
    <col min="3" max="3" width="13.375" bestFit="1" customWidth="1"/>
    <col min="4" max="4" width="9.75" customWidth="1"/>
    <col min="7" max="7" width="12.25" bestFit="1" customWidth="1"/>
  </cols>
  <sheetData>
    <row r="1" spans="1:8" ht="15.75" thickBot="1">
      <c r="A1" s="305" t="s">
        <v>390</v>
      </c>
      <c r="B1" s="306"/>
      <c r="C1" s="306"/>
      <c r="D1" s="306"/>
      <c r="E1" s="307"/>
      <c r="F1" t="s">
        <v>392</v>
      </c>
      <c r="G1" s="116">
        <f>PI()</f>
        <v>3.1415926535897931</v>
      </c>
    </row>
    <row r="2" spans="1:8">
      <c r="A2" t="s">
        <v>357</v>
      </c>
      <c r="B2" t="s">
        <v>360</v>
      </c>
      <c r="C2" s="116">
        <v>3.5900000000000001E-2</v>
      </c>
      <c r="D2" t="s">
        <v>92</v>
      </c>
      <c r="F2" t="s">
        <v>120</v>
      </c>
      <c r="G2" s="116">
        <v>8.3140000000000001</v>
      </c>
      <c r="H2" t="s">
        <v>121</v>
      </c>
    </row>
    <row r="3" spans="1:8">
      <c r="A3" t="s">
        <v>358</v>
      </c>
      <c r="B3" t="s">
        <v>361</v>
      </c>
      <c r="C3" s="116">
        <v>0.6</v>
      </c>
      <c r="D3" t="s">
        <v>92</v>
      </c>
    </row>
    <row r="4" spans="1:8">
      <c r="A4" t="s">
        <v>359</v>
      </c>
      <c r="B4" t="s">
        <v>362</v>
      </c>
      <c r="C4" s="5">
        <f>((G1*C2^2)/4)*C3</f>
        <v>6.073374041809591E-4</v>
      </c>
      <c r="D4" t="s">
        <v>363</v>
      </c>
      <c r="E4" s="304"/>
    </row>
    <row r="5" spans="1:8">
      <c r="A5" t="s">
        <v>364</v>
      </c>
      <c r="B5" t="s">
        <v>297</v>
      </c>
      <c r="C5" s="116">
        <v>1173</v>
      </c>
      <c r="D5" t="s">
        <v>5</v>
      </c>
    </row>
    <row r="6" spans="1:8">
      <c r="A6" t="s">
        <v>365</v>
      </c>
      <c r="B6" t="s">
        <v>372</v>
      </c>
      <c r="C6" s="116">
        <v>101325</v>
      </c>
      <c r="D6" t="s">
        <v>7</v>
      </c>
    </row>
    <row r="7" spans="1:8">
      <c r="A7" t="s">
        <v>366</v>
      </c>
      <c r="B7" t="s">
        <v>373</v>
      </c>
      <c r="C7" s="116">
        <v>0</v>
      </c>
      <c r="D7" t="s">
        <v>7</v>
      </c>
    </row>
    <row r="8" spans="1:8">
      <c r="A8" t="s">
        <v>367</v>
      </c>
      <c r="B8" t="s">
        <v>374</v>
      </c>
      <c r="C8" s="149">
        <v>4.2361111111111106E-2</v>
      </c>
    </row>
    <row r="9" spans="1:8">
      <c r="A9" t="s">
        <v>368</v>
      </c>
      <c r="B9" t="s">
        <v>401</v>
      </c>
      <c r="C9" s="116">
        <v>100</v>
      </c>
      <c r="D9" t="s">
        <v>378</v>
      </c>
    </row>
    <row r="10" spans="1:8">
      <c r="C10" s="5">
        <f>(C6*((C9*10^-6)/60))/(G2*273.15)</f>
        <v>7.4362526553091362E-5</v>
      </c>
      <c r="D10" t="s">
        <v>379</v>
      </c>
    </row>
    <row r="11" spans="1:8">
      <c r="A11" t="s">
        <v>370</v>
      </c>
      <c r="B11" t="s">
        <v>375</v>
      </c>
      <c r="C11" s="5">
        <f>C10/2</f>
        <v>3.7181263276545681E-5</v>
      </c>
      <c r="D11" t="s">
        <v>379</v>
      </c>
      <c r="E11" s="304"/>
    </row>
    <row r="12" spans="1:8">
      <c r="A12" t="s">
        <v>371</v>
      </c>
      <c r="B12" t="s">
        <v>376</v>
      </c>
      <c r="C12" s="5">
        <f>C10/2</f>
        <v>3.7181263276545681E-5</v>
      </c>
      <c r="D12" t="s">
        <v>379</v>
      </c>
      <c r="E12" s="304"/>
    </row>
    <row r="13" spans="1:8" ht="15" thickBot="1">
      <c r="A13" t="s">
        <v>369</v>
      </c>
      <c r="B13" t="s">
        <v>377</v>
      </c>
      <c r="C13" s="5">
        <f>(4*C10*G2*C5)/(G1*C6*C2^2)</f>
        <v>7.0707711028471076E-3</v>
      </c>
      <c r="D13" t="s">
        <v>93</v>
      </c>
      <c r="E13" s="304">
        <v>7.0800000000000004E-3</v>
      </c>
    </row>
    <row r="14" spans="1:8" ht="15.75" thickBot="1">
      <c r="A14" s="305" t="s">
        <v>391</v>
      </c>
      <c r="B14" s="306"/>
      <c r="C14" s="306"/>
      <c r="D14" s="306"/>
      <c r="E14" s="307"/>
    </row>
    <row r="15" spans="1:8">
      <c r="A15" t="s">
        <v>416</v>
      </c>
      <c r="B15" t="s">
        <v>393</v>
      </c>
      <c r="C15" s="116">
        <v>6400</v>
      </c>
      <c r="D15" t="s">
        <v>104</v>
      </c>
      <c r="E15" s="308">
        <f>6979-0.652*(C5-505)</f>
        <v>6543.4639999999999</v>
      </c>
      <c r="F15" t="s">
        <v>104</v>
      </c>
    </row>
    <row r="16" spans="1:8">
      <c r="A16" t="s">
        <v>414</v>
      </c>
      <c r="B16" t="s">
        <v>380</v>
      </c>
      <c r="C16" s="7">
        <f>(C6*((0.5*16.04+0.5*44.01)*10^-3))/(G2*C5)</f>
        <v>0.3119547452391338</v>
      </c>
      <c r="D16" t="s">
        <v>104</v>
      </c>
      <c r="E16" s="17"/>
    </row>
    <row r="17" spans="1:7">
      <c r="A17" t="s">
        <v>415</v>
      </c>
      <c r="B17" t="s">
        <v>381</v>
      </c>
      <c r="C17">
        <f>C15</f>
        <v>6400</v>
      </c>
      <c r="D17" t="s">
        <v>104</v>
      </c>
      <c r="E17" s="308">
        <f>E15</f>
        <v>6543.4639999999999</v>
      </c>
    </row>
    <row r="18" spans="1:7">
      <c r="A18" t="s">
        <v>394</v>
      </c>
      <c r="B18" t="s">
        <v>398</v>
      </c>
      <c r="C18" s="5">
        <f>0.0003908*EXP(790.7/C5)</f>
        <v>7.6684099074169536E-4</v>
      </c>
      <c r="D18" t="s">
        <v>399</v>
      </c>
    </row>
    <row r="19" spans="1:7" ht="15" thickBot="1">
      <c r="A19" t="s">
        <v>395</v>
      </c>
      <c r="B19" t="s">
        <v>405</v>
      </c>
      <c r="C19" s="7">
        <f>0.606-(9.1*10^-5)*C5</f>
        <v>0.49925699999999995</v>
      </c>
      <c r="D19" t="s">
        <v>397</v>
      </c>
    </row>
    <row r="20" spans="1:7" ht="15.75" thickBot="1">
      <c r="A20" s="305" t="s">
        <v>396</v>
      </c>
      <c r="B20" s="306"/>
      <c r="C20" s="306"/>
      <c r="D20" s="306"/>
      <c r="E20" s="307"/>
    </row>
    <row r="21" spans="1:7">
      <c r="A21" t="s">
        <v>413</v>
      </c>
      <c r="B21" t="s">
        <v>404</v>
      </c>
      <c r="C21" s="7">
        <f>((C19*9.81*(C15-C16))/(C17^2))^(1/4)</f>
        <v>0.16632135202448212</v>
      </c>
    </row>
    <row r="22" spans="1:7">
      <c r="A22" t="s">
        <v>412</v>
      </c>
      <c r="B22" t="s">
        <v>406</v>
      </c>
      <c r="C22" s="303">
        <f>C13/C21</f>
        <v>4.2512708180765066E-2</v>
      </c>
      <c r="G22">
        <f>C16/C15</f>
        <v>4.874292894361466E-5</v>
      </c>
    </row>
    <row r="23" spans="1:7">
      <c r="A23" t="s">
        <v>411</v>
      </c>
      <c r="B23" t="s">
        <v>407</v>
      </c>
      <c r="C23" s="5">
        <f>C18/((C17*C19*SQRT(C19/(9.81*(C15-C16))))^(1/2))</f>
        <v>2.5546367976403373E-4</v>
      </c>
    </row>
    <row r="24" spans="1:7">
      <c r="A24" t="s">
        <v>410</v>
      </c>
      <c r="B24" t="s">
        <v>408</v>
      </c>
      <c r="C24" s="172">
        <f>C2/SQRT(C19/(9.81*(C15-C16)))</f>
        <v>12.730523802199013</v>
      </c>
    </row>
    <row r="25" spans="1:7">
      <c r="A25" t="s">
        <v>409</v>
      </c>
      <c r="B25" t="s">
        <v>400</v>
      </c>
      <c r="C25" s="172">
        <f>1.2-0.2*SQRT(C16/C15)</f>
        <v>1.1986036772730688</v>
      </c>
    </row>
    <row r="26" spans="1:7" ht="15">
      <c r="A26" t="s">
        <v>418</v>
      </c>
      <c r="B26" t="s">
        <v>417</v>
      </c>
      <c r="C26" s="310">
        <f>0.0019*(C24^0.809)*((C16/C17)^-0.157)*(C23^-0.562)</f>
        <v>7.3901477520624503</v>
      </c>
    </row>
    <row r="27" spans="1:7" ht="15">
      <c r="A27" s="311" t="s">
        <v>419</v>
      </c>
      <c r="B27" s="3" t="s">
        <v>276</v>
      </c>
      <c r="C27" s="3">
        <v>-1.39</v>
      </c>
      <c r="D27" s="3"/>
      <c r="E27" s="3"/>
      <c r="G27">
        <f>SQRT(2)*(1-A33)^1.75</f>
        <v>1.3547071002487505</v>
      </c>
    </row>
    <row r="28" spans="1:7" ht="15">
      <c r="A28" s="312" t="s">
        <v>421</v>
      </c>
      <c r="B28" s="312" t="s">
        <v>403</v>
      </c>
      <c r="C28" s="312" t="s">
        <v>402</v>
      </c>
      <c r="D28" s="312" t="s">
        <v>384</v>
      </c>
      <c r="E28" s="312" t="s">
        <v>420</v>
      </c>
      <c r="G28">
        <f>SQRT(2)*(1-0.0243)^1.75</f>
        <v>1.3546232694670493</v>
      </c>
    </row>
    <row r="29" spans="1:7">
      <c r="A29" s="313">
        <v>0</v>
      </c>
      <c r="B29" s="315">
        <f>SQRT(2)*((1-A29)^1.75)*EXP($C$27*$C$22)+$C$26*(1-EXP($C$27*$C$22))</f>
        <v>1.7571161449224131</v>
      </c>
      <c r="C29" s="315">
        <f>B29*$C$21</f>
        <v>0.29224593288754158</v>
      </c>
      <c r="D29" s="314">
        <f>$C$13/($C$25*$C$13+C29)</f>
        <v>2.3512729248775302E-2</v>
      </c>
      <c r="E29" s="314">
        <f>D29-A29</f>
        <v>2.3512729248775302E-2</v>
      </c>
    </row>
    <row r="30" spans="1:7">
      <c r="A30" s="314">
        <f>D29</f>
        <v>2.3512729248775302E-2</v>
      </c>
      <c r="B30" s="315">
        <f t="shared" ref="B30:B33" si="0">SQRT(2)*((1-A30)^1.75)*EXP($C$27*$C$22)+$C$26*(1-EXP($C$27*$C$22))</f>
        <v>1.7027487441864753</v>
      </c>
      <c r="C30" s="315">
        <f t="shared" ref="C30:C33" si="1">B30*$C$21</f>
        <v>0.28320347329108359</v>
      </c>
      <c r="D30" s="314">
        <f t="shared" ref="D30:D33" si="2">$C$13/($C$25*$C$13+C30)</f>
        <v>2.4241658140073414E-2</v>
      </c>
      <c r="E30" s="314">
        <f t="shared" ref="E30:E33" si="3">D30-A30</f>
        <v>7.2892889129811192E-4</v>
      </c>
    </row>
    <row r="31" spans="1:7">
      <c r="A31" s="314">
        <f>D30</f>
        <v>2.4241658140073414E-2</v>
      </c>
      <c r="B31" s="315">
        <f t="shared" si="0"/>
        <v>1.7010787962349503</v>
      </c>
      <c r="C31" s="315">
        <f t="shared" si="1"/>
        <v>0.28292572528997545</v>
      </c>
      <c r="D31" s="314">
        <f t="shared" si="2"/>
        <v>2.4264764022456118E-2</v>
      </c>
      <c r="E31" s="314">
        <f t="shared" si="3"/>
        <v>2.3105882382704057E-5</v>
      </c>
    </row>
    <row r="32" spans="1:7">
      <c r="A32" s="314">
        <f t="shared" ref="A32:A33" si="4">D31</f>
        <v>2.4264764022456118E-2</v>
      </c>
      <c r="B32" s="315">
        <f t="shared" si="0"/>
        <v>1.7010258768442967</v>
      </c>
      <c r="C32" s="315">
        <f t="shared" si="1"/>
        <v>0.28291692366537363</v>
      </c>
      <c r="D32" s="314">
        <f t="shared" si="2"/>
        <v>2.426549695047622E-2</v>
      </c>
      <c r="E32" s="314">
        <f t="shared" si="3"/>
        <v>7.3292802010155311E-7</v>
      </c>
    </row>
    <row r="33" spans="1:5">
      <c r="A33" s="314">
        <f t="shared" si="4"/>
        <v>2.426549695047622E-2</v>
      </c>
      <c r="B33" s="315">
        <f t="shared" si="0"/>
        <v>1.7010241982350049</v>
      </c>
      <c r="C33" s="315">
        <f t="shared" si="1"/>
        <v>0.2829166444768067</v>
      </c>
      <c r="D33" s="314">
        <f t="shared" si="2"/>
        <v>2.4265520199763677E-2</v>
      </c>
      <c r="E33" s="314">
        <f t="shared" si="3"/>
        <v>2.3249287457033363E-8</v>
      </c>
    </row>
    <row r="34" spans="1:5" ht="15">
      <c r="A34" t="s">
        <v>382</v>
      </c>
      <c r="B34" s="9" t="s">
        <v>384</v>
      </c>
      <c r="C34" s="316">
        <f>D33*100</f>
        <v>2.4265520199763677</v>
      </c>
      <c r="D34" s="9" t="s">
        <v>385</v>
      </c>
      <c r="E34" s="17">
        <v>3.2</v>
      </c>
    </row>
    <row r="35" spans="1:5" ht="15">
      <c r="A35" t="s">
        <v>386</v>
      </c>
      <c r="B35" s="9" t="s">
        <v>387</v>
      </c>
      <c r="C35" s="316">
        <f>C15*(1-D33)</f>
        <v>6244.7006707215123</v>
      </c>
      <c r="D35" s="9" t="s">
        <v>389</v>
      </c>
      <c r="E35" s="17">
        <v>6195</v>
      </c>
    </row>
    <row r="36" spans="1:5">
      <c r="A36" t="s">
        <v>383</v>
      </c>
      <c r="B36" t="s">
        <v>388</v>
      </c>
      <c r="C36" s="172">
        <f>C35*C4</f>
        <v>3.7926402952430975</v>
      </c>
      <c r="E36" s="309">
        <v>3.7603650000000002</v>
      </c>
    </row>
  </sheetData>
  <phoneticPr fontId="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81F71-335C-F94F-B161-FEB22F0DB6B3}">
  <dimension ref="A1"/>
  <sheetViews>
    <sheetView workbookViewId="0">
      <selection activeCell="K75" sqref="K75"/>
    </sheetView>
  </sheetViews>
  <sheetFormatPr baseColWidth="10" defaultRowHeight="14.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Index</vt:lpstr>
      <vt:lpstr>Kinetic parameters</vt:lpstr>
      <vt:lpstr>Domain-Shift</vt:lpstr>
      <vt:lpstr>BEP</vt:lpstr>
      <vt:lpstr>Surface Renewal</vt:lpstr>
      <vt:lpstr>Mass Transfer </vt:lpstr>
      <vt:lpstr>Ads equilibria Ω</vt:lpstr>
      <vt:lpstr>Carbón Bulk</vt:lpstr>
      <vt:lpstr>Thermo</vt:lpstr>
      <vt:lpstr>Geometría</vt:lpstr>
      <vt:lpstr>Scripts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AGUN GANDARA BRUNO</dc:creator>
  <cp:lastModifiedBy>AGUN GANDARA BRUNO</cp:lastModifiedBy>
  <dcterms:created xsi:type="dcterms:W3CDTF">2026-05-26T06:44:59Z</dcterms:created>
  <dcterms:modified xsi:type="dcterms:W3CDTF">2026-09-09T08:36:27Z</dcterms:modified>
</cp:coreProperties>
</file>